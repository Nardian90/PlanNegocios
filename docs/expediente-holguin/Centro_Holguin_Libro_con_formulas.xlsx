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ada" sheetId="1" r:id="rId1"/>
    <sheet name="Resumen" sheetId="2" r:id="rId2"/>
    <sheet name="Parametros" sheetId="3" r:id="rId3"/>
    <sheet name="Inversion" sheetId="4" r:id="rId4"/>
    <sheet name="Depreciacion" sheetId="5" r:id="rId5"/>
    <sheet name="Deuda" sheetId="6" r:id="rId6"/>
    <sheet name="Aportaciones" sheetId="7" r:id="rId7"/>
    <sheet name="Financiacion" sheetId="8" r:id="rId8"/>
    <sheet name="Servicios" sheetId="9" r:id="rId9"/>
    <sheet name="Personal" sheetId="10" r:id="rId10"/>
    <sheet name="Capacidad" sheetId="11" r:id="rId11"/>
    <sheet name="Proyecciones" sheetId="12" r:id="rId12"/>
    <sheet name="FlujosCaja" sheetId="13" r:id="rId13"/>
    <sheet name="Dividendos" sheetId="14" r:id="rId14"/>
    <sheet name="BeneficiosPais" sheetId="15" r:id="rId15"/>
    <sheet name="FuerzaTrabajo" sheetId="16" r:id="rId16"/>
    <sheet name="Cronograma" sheetId="17" r:id="rId17"/>
    <sheet name="ConsumosTecnicos" sheetId="18" r:id="rId18"/>
    <sheet name="Mercado" sheetId="19" r:id="rId19"/>
    <sheet name="Descripcion" sheetId="20" r:id="rId20"/>
    <sheet name="Reglas" sheetId="21" r:id="rId21"/>
    <sheet name="Controles" sheetId="22" r:id="rId22"/>
  </sheets>
  <calcPr calcId="171027" fullCalcOnLoad="1"/>
  <definedNames>
    <definedName name="_xlnm._FilterDatabase" localSheetId="3">'Inversion'!A3:I37</definedName>
    <definedName name="_xlnm._FilterDatabase" localSheetId="8">'Servicios'!A3:R153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1">
    <numFmt numFmtId="165" formatCode="#,##0.0"/>
    <numFmt numFmtId="166" formatCode="#,##0.0"/>
    <numFmt numFmtId="167" formatCode="0.0"/>
    <numFmt numFmtId="168" formatCode="0.0%"/>
    <numFmt numFmtId="169" formatCode="#,##0.0"/>
    <numFmt numFmtId="170" formatCode="0.0%"/>
    <numFmt numFmtId="171" formatCode="0.0"/>
    <numFmt numFmtId="172" formatCode="#,##0.0"/>
    <numFmt numFmtId="173" formatCode="0.0%"/>
    <numFmt numFmtId="174" formatCode="#,##0.0"/>
    <numFmt numFmtId="175" formatCode="0.0"/>
  </numFmts>
  <fonts count="18" x14ac:knownFonts="1">
    <font>
      <sz val="11"/>
      <name val="Calibri"/>
    </font>
    <font>
      <sz val="11"/>
      <name val="Calibri"/>
    </font>
    <font>
      <sz val="14"/>
      <name val="Calibri"/>
      <b/>
      <color rgb="333F50"/>
    </font>
    <font>
      <sz val="10"/>
      <name val="Calibri"/>
      <i/>
      <color rgb="595959"/>
    </font>
    <font>
      <sz val="9"/>
      <name val="Calibri"/>
      <i/>
      <color rgb="7F6000"/>
    </font>
    <font>
      <sz val="10"/>
      <name val="Calibri"/>
      <b/>
      <color rgb="FFFFFF"/>
    </font>
    <font>
      <sz val="10"/>
      <name val="Calibri"/>
      <b/>
      <color rgb="FFFFFF"/>
    </font>
    <font>
      <sz val="11"/>
      <name val="Calibri"/>
      <b/>
    </font>
    <font>
      <sz val="11"/>
      <name val="Calibri"/>
      <b/>
    </font>
    <font>
      <sz val="11"/>
      <name val="Calibri"/>
      <b/>
    </font>
    <font>
      <sz val="9"/>
      <name val="Calibri"/>
      <color rgb="974706"/>
    </font>
    <font>
      <sz val="10"/>
      <name val="Calibri"/>
      <b/>
      <color rgb="FFFFFF"/>
    </font>
    <font>
      <sz val="11"/>
      <name val="Calibri"/>
      <b/>
    </font>
    <font>
      <sz val="11"/>
      <name val="Calibri"/>
      <b/>
    </font>
    <font>
      <sz val="9"/>
      <name val="Calibri"/>
      <color rgb="974706"/>
    </font>
    <font>
      <sz val="11"/>
      <name val="Calibri"/>
      <b/>
      <color rgb="2F6B2F"/>
    </font>
    <font>
      <sz val="9"/>
      <name val="Calibri"/>
      <b/>
      <color rgb="990000"/>
    </font>
    <font>
      <sz val="9"/>
      <name val="Calibri"/>
      <b/>
      <color rgb="990000"/>
    </font>
  </fonts>
  <fills count="27">
    <fill>
      <patternFill patternType="none">
        <bgColor/>
      </patternFill>
    </fill>
    <fill>
      <patternFill patternType="gray125">
        <bgColor/>
      </patternFill>
    </fill>
    <fill>
      <patternFill patternType="solid">
        <fgColor rgb="FFE2EFDA"/>
        <bgColor/>
      </patternFill>
    </fill>
    <fill>
      <patternFill patternType="solid">
        <fgColor rgb="FFE2EFDA"/>
        <bgColor/>
      </patternFill>
    </fill>
    <fill>
      <patternFill patternType="solid">
        <fgColor rgb="FFE2EFDA"/>
        <bgColor/>
      </patternFill>
    </fill>
    <fill>
      <patternFill patternType="solid">
        <fgColor rgb="FF333F50"/>
        <bgColor/>
      </patternFill>
    </fill>
    <fill>
      <patternFill patternType="solid">
        <fgColor rgb="FF333F50"/>
        <bgColor/>
      </patternFill>
    </fill>
    <fill>
      <patternFill patternType="solid">
        <fgColor rgb="FFE2EFDA"/>
        <bgColor/>
      </patternFill>
    </fill>
    <fill>
      <patternFill patternType="solid">
        <fgColor rgb="FFE2EFDA"/>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E7E6E6"/>
        <bgColor/>
      </patternFill>
    </fill>
    <fill>
      <patternFill patternType="solid">
        <fgColor rgb="FFE7E6E6"/>
        <bgColor/>
      </patternFill>
    </fill>
    <fill>
      <patternFill patternType="solid">
        <fgColor rgb="FFE7E6E6"/>
        <bgColor/>
      </patternFill>
    </fill>
    <fill>
      <patternFill patternType="solid">
        <fgColor rgb="FFE2EFDA"/>
        <bgColor/>
      </patternFill>
    </fill>
    <fill>
      <patternFill patternType="solid">
        <fgColor rgb="FFFCE5CD"/>
        <bgColor/>
      </patternFill>
    </fill>
    <fill>
      <patternFill patternType="solid">
        <fgColor rgb="FFE2EFDA"/>
        <bgColor/>
      </patternFill>
    </fill>
    <fill>
      <patternFill patternType="solid">
        <fgColor rgb="FFFFF2CC"/>
        <bgColor/>
      </patternFill>
    </fill>
    <fill>
      <patternFill patternType="solid">
        <fgColor rgb="FF333F50"/>
        <bgColor/>
      </patternFill>
    </fill>
    <fill>
      <patternFill patternType="solid">
        <fgColor rgb="FFE7E6E6"/>
        <bgColor/>
      </patternFill>
    </fill>
    <fill>
      <patternFill patternType="solid">
        <fgColor rgb="FFE7E6E6"/>
        <bgColor/>
      </patternFill>
    </fill>
    <fill>
      <patternFill patternType="solid">
        <fgColor rgb="FFFCE5CD"/>
        <bgColor/>
      </patternFill>
    </fill>
    <fill>
      <patternFill patternType="solid">
        <fgColor rgb="FFF4CCCC"/>
        <bgColor/>
      </patternFill>
    </fill>
    <fill>
      <patternFill patternType="solid">
        <fgColor rgb="FFF4CCCC"/>
        <bgColor/>
      </patternFill>
    </fill>
  </fills>
  <borders count="2">
    <border>
      <left/>
      <right/>
      <top/>
      <bottom/>
      <diagonal/>
    </border>
    <border>
      <left/>
      <right/>
      <top/>
      <bottom/>
      <diagonal/>
    </border>
  </borders>
  <cellStyleXfs>
    <xf numFmtId="0" fontId="0" fillId="0" borderId="0"/>
  </cellStyleXfs>
  <cellXfs count="33">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165" fontId="0" fillId="2" borderId="0" xfId="0" applyFill="1" applyNumberFormat="1"/>
    <xf numFmtId="166" fontId="0" fillId="3" borderId="0" xfId="0" applyFill="1" applyNumberFormat="1"/>
    <xf numFmtId="167" fontId="0" fillId="4" borderId="0" xfId="0" applyFill="1" applyNumberFormat="1"/>
    <xf numFmtId="0" fontId="4" fillId="0" borderId="0" xfId="0" applyFont="1"/>
    <xf numFmtId="0" fontId="5" fillId="5" borderId="0" xfId="0" applyFont="1" applyFill="1" applyAlignment="1">
      <alignment horizontal="center" vertical="center" wrapText="true"/>
    </xf>
    <xf numFmtId="0" fontId="6" fillId="6" borderId="0" xfId="0" applyFont="1" applyFill="1" applyAlignment="1">
      <alignment horizontal="center" vertical="center" wrapText="true"/>
    </xf>
    <xf numFmtId="1" fontId="0" fillId="7" borderId="0" xfId="0" applyFill="1" applyNumberFormat="1"/>
    <xf numFmtId="3" fontId="0" fillId="8" borderId="0" xfId="0" applyFill="1" applyNumberFormat="1"/>
    <xf numFmtId="168" fontId="0" fillId="9" borderId="0" xfId="0" applyFill="1" applyNumberFormat="1"/>
    <xf numFmtId="169" fontId="0" fillId="10" borderId="0" xfId="0" applyFill="1" applyNumberFormat="1"/>
    <xf numFmtId="170" fontId="0" fillId="11" borderId="0" xfId="0" applyFill="1" applyNumberFormat="1"/>
    <xf numFmtId="171" fontId="0" fillId="12" borderId="0" xfId="0" applyFill="1" applyNumberFormat="1"/>
    <xf numFmtId="1" fontId="0" fillId="13" borderId="0" xfId="0" applyFill="1" applyNumberFormat="1"/>
    <xf numFmtId="0" fontId="7" fillId="14" borderId="0" xfId="0" applyFont="1" applyFill="1"/>
    <xf numFmtId="172" fontId="8" fillId="15" borderId="0" xfId="0" applyFont="1" applyFill="1" applyNumberFormat="1"/>
    <xf numFmtId="0" fontId="9" fillId="16" borderId="0" xfId="0" applyFont="1" applyFill="1"/>
    <xf numFmtId="173" fontId="0" fillId="17" borderId="0" xfId="0" applyFill="1" applyNumberFormat="1"/>
    <xf numFmtId="0" fontId="10" fillId="18" borderId="0" xfId="0" applyFont="1" applyFill="1"/>
    <xf numFmtId="0" fontId="0" fillId="19" borderId="0" xfId="0" applyFill="1"/>
    <xf numFmtId="174" fontId="0" fillId="0" borderId="0" xfId="0" applyNumberFormat="1"/>
    <xf numFmtId="3" fontId="0" fillId="20" borderId="0" xfId="0" applyFill="1" applyNumberFormat="1"/>
    <xf numFmtId="1" fontId="11" fillId="21" borderId="0" xfId="0" applyFont="1" applyFill="1" applyNumberFormat="1" applyAlignment="1">
      <alignment horizontal="center" vertical="center" wrapText="true"/>
    </xf>
    <xf numFmtId="175" fontId="12" fillId="22" borderId="0" xfId="0" applyFont="1" applyFill="1" applyNumberFormat="1"/>
    <xf numFmtId="1" fontId="13" fillId="23" borderId="0" xfId="0" applyFont="1" applyFill="1" applyNumberFormat="1"/>
    <xf numFmtId="0" fontId="14" fillId="24" borderId="0" xfId="0" applyFont="1" applyFill="1"/>
    <xf numFmtId="0" fontId="15" fillId="0" borderId="0" xfId="0" applyFont="1"/>
    <xf numFmtId="0" fontId="16" fillId="25" borderId="0" xfId="0" applyFont="1" applyFill="1"/>
    <xf numFmtId="0" fontId="17" fillId="26" borderId="0" xfId="0" applyFont="1" applyFill="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cols>
    <col min="1" max="1" width="42.83203125" customWidth="1"/>
    <col min="2" max="2" width="60.83203125" customWidth="1"/>
  </cols>
  <sheetData>
    <row r="1">
      <c r="A1" s="3" t="str">
        <v>PLANEX Cuba — Plan de Negocios para propuestas de inversión extranjera</v>
      </c>
    </row>
    <row r="2">
      <c r="A2" s="4" t="str">
        <v>Metodología: Bases metodológicas GOC-2026-O57 (epígrafes 4.1–4.12) · Esquema 2.0.0</v>
      </c>
    </row>
    <row r="4">
      <c r="A4" s="2" t="str">
        <v>Proyecto:</v>
      </c>
      <c r="B4" s="2" t="str">
        <v>Centro Estomatológico Internacional Holguín</v>
      </c>
    </row>
    <row r="5">
      <c r="A5" s="2" t="str">
        <v>Denominación:</v>
      </c>
      <c r="B5" s="2" t="str">
        <v>Contrato de Asociación Económica Internacional entre Comercializadora de Servicios Médicos Cubanos, S.A. (CSMC, S.A.) y Leisure Exporting LLC para la comercialización y prestación de servicios de estomatología y bienes asociados en la provincia de Holguín</v>
      </c>
    </row>
    <row r="6">
      <c r="A6" s="2" t="str">
        <v>Plantilla de origen:</v>
      </c>
      <c r="B6" s="2" t="str">
        <v>holguin</v>
      </c>
    </row>
    <row r="7">
      <c r="A7" s="2" t="str">
        <v>Fecha de exportación:</v>
      </c>
      <c r="B7" s="2" t="str">
        <v>27/10/2026, 11:58:58</v>
      </c>
    </row>
    <row r="8">
      <c r="A8" s="2" t="str">
        <v>Versión de esquema:</v>
      </c>
      <c r="B8" s="2" t="str">
        <v>2.0.0</v>
      </c>
    </row>
    <row r="10">
      <c r="A10" s="2" t="str">
        <v>Inversión total (kUSD):</v>
      </c>
      <c r="B10" s="5">
        <f>=Financiacion!$D$8</f>
        <v>5.492333333333334</v>
      </c>
    </row>
    <row r="11">
      <c r="A11" s="2" t="str">
        <v>Aportaciones (kUSD):</v>
      </c>
      <c r="B11" s="6">
        <f>=Financiacion!$D$10</f>
        <v>82.18863333333334</v>
      </c>
    </row>
    <row r="12">
      <c r="A12" s="2" t="str">
        <v>Ingresos totales año 1 (kUSD):</v>
      </c>
      <c r="B12" s="6">
        <f>=Proyecciones!D$7</f>
        <v>115.814</v>
      </c>
    </row>
    <row r="13">
      <c r="A13" s="2" t="str">
        <v>Utilidad después de impuestos año 1 (kUSD):</v>
      </c>
      <c r="B13" s="6">
        <f>=Proyecciones!D$24</f>
        <v>-47.659515294117654</v>
      </c>
    </row>
    <row r="14">
      <c r="A14" s="2" t="str">
        <v>Recuperación de la INVERSIÓN TOTAL (FCFF, años):</v>
      </c>
      <c r="B14" s="7" t="str">
        <f>=FlujosCaja!$B$14</f>
        <v>No se recupera en el horizonte</v>
      </c>
    </row>
    <row r="15">
      <c r="A15" s="2" t="str">
        <v>Recuperación del CAPITAL APORTADO (FCFE, años):</v>
      </c>
      <c r="B15" s="7" t="str">
        <f>=FlujosCaja!$B$15</f>
        <v>No se recupera en el horizonte</v>
      </c>
    </row>
    <row r="16">
      <c r="A16" s="8" t="str">
        <v>Ambos indicadores se calculan en la hoja FlujosCaja por interpolación lineal del acumulado correspondiente.</v>
      </c>
    </row>
  </sheetData>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B22"/>
  <sheetViews>
    <sheetView workbookViewId="0"/>
  </sheetViews>
  <cols>
    <col min="1" max="1" width="52.83203125" customWidth="1"/>
    <col min="2" max="2" width="20.83203125" customWidth="1"/>
  </cols>
  <sheetData>
    <row r="1">
      <c r="A1" s="3" t="str">
        <v>Resumen ejecutivo</v>
      </c>
    </row>
    <row r="2">
      <c r="A2" s="2" t="str">
        <v xml:space="preserve">Propuesta de Asociación Económica Internacional (AEI) entre la Comercializadora de Servicios Médicos Cubanos, S.A. (CSMC, S.A.) y Leisure Exporting LLC (Estados Unidos) para la comercialización y prestación de servicios de estomatología y bienes asociados por profesionales y técnicos cubanos altamente calificados en un Centro Internacional Estomatológico de alta tecnología en la provincia de Holguín, así como la capacitación profesional, con acceso a nuevos mercados en América Latina, Centroamérica y el Caribe (contrato de AEI, fuente F01). La inversión documentada comprende cinco equipos de tecnología estomatológica cotizados por 5 274,00 USD y gastos previos de preoperación por 26,20 miles de CUP aportados por CSMC; la operación proyecta 15 líneas de servicio con una demanda prevista de </v>
      </c>
    </row>
    <row r="4">
      <c r="A4" s="9" t="str">
        <v>Indicador</v>
      </c>
      <c r="B4" s="10" t="str">
        <v>Valor</v>
      </c>
    </row>
    <row r="5">
      <c r="A5" s="2" t="str">
        <v>Horizonte de análisis (años)</v>
      </c>
      <c r="B5" s="7">
        <v>10</v>
      </c>
    </row>
    <row r="6">
      <c r="A6" s="2" t="str">
        <v>Inversión total (kUSD)</v>
      </c>
      <c r="B6" s="6">
        <f>=Financiacion!$D$8</f>
        <v>5.492333333333334</v>
      </c>
    </row>
    <row r="7">
      <c r="A7" s="2" t="str">
        <v>Aportaciones de los socios (kUSD)</v>
      </c>
      <c r="B7" s="6">
        <f>=Financiacion!$D$10</f>
        <v>82.18863333333334</v>
      </c>
    </row>
    <row r="8">
      <c r="A8" s="2" t="str">
        <v>Ingresos totales año 1 (kUSD)</v>
      </c>
      <c r="B8" s="6">
        <f>=Proyecciones!D$7</f>
        <v>115.814</v>
      </c>
    </row>
    <row r="9">
      <c r="A9" s="2" t="str">
        <v>Utilidad después de impuestos año 1 (kUSD)</v>
      </c>
      <c r="B9" s="6">
        <f>=Proyecciones!D$24</f>
        <v>-47.659515294117654</v>
      </c>
    </row>
    <row r="10">
      <c r="A10" s="2" t="str">
        <v>Utilidad neta acumulada años 1–N (kUSD)</v>
      </c>
      <c r="B10" s="6">
        <f>=SUM(Proyecciones!D24:M24)</f>
        <v>-476.5951529411766</v>
      </c>
    </row>
    <row r="11">
      <c r="A11" s="2" t="str">
        <v>Beneficios directos al país — período completo (kUSD)</v>
      </c>
      <c r="B11" s="6">
        <f>=SUM(Proyecciones!C38:M38)</f>
        <v>416.8</v>
      </c>
    </row>
    <row r="12">
      <c r="A12" s="2" t="str">
        <v>Beneficios directos al país — explotación, años 1–N (kUSD)</v>
      </c>
      <c r="B12" s="6">
        <f>=SUM(Proyecciones!D38:M38)</f>
        <v>416.8</v>
      </c>
    </row>
    <row r="13">
      <c r="A13" s="2" t="str">
        <v>Recuperación de la inversión total (FCFF, años)</v>
      </c>
      <c r="B13" s="7" t="str">
        <f>=FlujosCaja!$B$14</f>
        <v>—</v>
      </c>
    </row>
    <row r="14">
      <c r="A14" s="2" t="str">
        <v>Recuperación del capital aportado (FCFE, años)</v>
      </c>
      <c r="B14" s="7" t="str">
        <f>=FlujosCaja!$B$15</f>
        <v>—</v>
      </c>
    </row>
    <row r="15">
      <c r="A15" s="2" t="str">
        <v>Total de trabajadores (operación)</v>
      </c>
      <c r="B15" s="11">
        <v>10</v>
      </c>
    </row>
    <row r="16">
      <c r="A16" s="2" t="str">
        <v>Salario promedio anual (CUP)</v>
      </c>
      <c r="B16" s="12">
        <v>432000</v>
      </c>
    </row>
    <row r="17">
      <c r="A17" s="8" t="str">
        <v>Recuperación FCFF (años, texto)</v>
      </c>
      <c r="B17" s="12" t="str">
        <v>No se recupera</v>
      </c>
    </row>
    <row r="18">
      <c r="A18" s="8" t="str">
        <v>Recuperación FCFE (años, texto)</v>
      </c>
      <c r="B18" s="12" t="str">
        <v>No se recupera</v>
      </c>
    </row>
    <row r="20">
      <c r="A20" s="8" t="str">
        <v>Notas:</v>
      </c>
    </row>
    <row r="21">
      <c r="A21" s="8" t="str">
        <v>Cifras del resumen: modelo activo (dinámicas). Fuente documental de cada dato: registro H-### (véase la sección «Expediente documental»).</v>
      </c>
    </row>
    <row r="22">
      <c r="A22" s="8" t="str">
        <v>Los beneficios al país usan el MISMO cálculo en resumen y tabla (período completo incluye el año 0; el subtotal de explotación se etiqueta aparte).</v>
      </c>
    </row>
  </sheetData>
  <ignoredErrors>
    <ignoredError numberStoredAsText="1" sqref="A1:B22"/>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cols>
    <col min="1" max="1" width="30.83203125" customWidth="1"/>
    <col min="2" max="2" width="40.83203125" customWidth="1"/>
    <col min="3" max="3" width="12.83203125" customWidth="1"/>
    <col min="4" max="4" width="10.83203125" customWidth="1"/>
    <col min="5" max="5" width="70.83203125" customWidth="1"/>
    <col min="6" max="6" width="60.83203125" customWidth="1"/>
    <col min="7" max="7" width="12.83203125" customWidth="1"/>
  </cols>
  <sheetData>
    <row r="1">
      <c r="A1" s="3" t="str">
        <v>Parámetros de cálculo (Nivel A)</v>
      </c>
    </row>
    <row r="2">
      <c r="A2" s="10" t="str">
        <v>ID</v>
      </c>
      <c r="B2" s="10" t="str">
        <v>Nombre</v>
      </c>
      <c r="C2" s="10" t="str">
        <v>Valor</v>
      </c>
      <c r="D2" s="10" t="str">
        <v>Unidad</v>
      </c>
      <c r="E2" s="10" t="str">
        <v>Descripción</v>
      </c>
      <c r="F2" s="10" t="str">
        <v>Fuente / justificación</v>
      </c>
      <c r="G2" s="10" t="str">
        <v>Fecha ref.</v>
      </c>
    </row>
    <row r="3">
      <c r="A3" s="2" t="str">
        <v>tasa_impuesto_utilidades</v>
      </c>
      <c r="B3" s="2" t="str">
        <v>Tasa del impuesto sobre utilidades (demostrativa)</v>
      </c>
      <c r="C3" s="13">
        <v>0.15</v>
      </c>
      <c r="D3" s="2" t="str">
        <v>%</v>
      </c>
      <c r="E3" s="2" t="str">
        <v>Tasa del impuesto sobre utilidades según el patrón del expediente (15 % aplicado a los años 8–10). PENDIENTE DE VALIDACIÓN NORMATIVA.</v>
      </c>
      <c r="F3" s="2" t="str">
        <v>Expediente (H-033): el EERR aplica 15 % solo en los años 8–10; SIN base legal citada (brecha B-16, validación V-05).</v>
      </c>
    </row>
    <row r="4">
      <c r="A4" s="2" t="str">
        <v>tipo_cambio</v>
      </c>
      <c r="B4" s="2" t="str">
        <v>Tipo de cambio (CUP por USD)</v>
      </c>
      <c r="C4" s="14">
        <v>120</v>
      </c>
      <c r="D4" s="2" t="str">
        <v>CUP/USD</v>
      </c>
      <c r="E4" s="2" t="str">
        <v>Tipo de cambio CUP/USD del modelo. Valor 120 DOCUMENTADO por la lista de precios del expediente; la tasa 24 de los encabezados del anexo queda como contradicción crítica pendiente (C-01). Aplica a salarios y a las partidas expresadas en CUP.</v>
      </c>
      <c r="F4" s="2" t="str">
        <v>Documental (H-025): lista de precios de CSMC «A TASA DE 1*120» (F02/F08 p. 23) y precios por caso en USD de F09 (TPR 80,00; blanqueamiento 150,00) que equivalen a los CUP ÷ 120. CONTRADICCIÓN REGISTRADA (C-01): los encabezados del expediente usan 1×24; decisión de tasa a cargo del promotor con sustento normativo (V-07).</v>
      </c>
      <c r="G4" s="2" t="str">
        <v>2026-10-25</v>
      </c>
    </row>
    <row r="5">
      <c r="A5" s="2" t="str">
        <v>tasa_interes</v>
      </c>
      <c r="B5" s="2" t="str">
        <v>Tasa de interés anual del crédito</v>
      </c>
      <c r="C5" s="15">
        <v>0.08</v>
      </c>
      <c r="D5" s="2" t="str">
        <v>%</v>
      </c>
      <c r="E5" s="2" t="str">
        <v>Interés nominal anual del crédito previsto.</v>
      </c>
      <c r="F5" s="2" t="str">
        <v>Supuesto editable según condiciones reales del financiamiento.</v>
      </c>
    </row>
    <row r="6">
      <c r="A6" s="2" t="str">
        <v>plazo_amortizacion</v>
      </c>
      <c r="B6" s="2" t="str">
        <v>Plazo de amortización del crédito</v>
      </c>
      <c r="C6" s="16">
        <v>5</v>
      </c>
      <c r="D6" s="2" t="str">
        <v>años</v>
      </c>
      <c r="E6" s="2" t="str">
        <v>Número de anualidades de amortización del principal tras el período de gracia.</v>
      </c>
      <c r="F6" s="2" t="str">
        <v>Supuesto editable.</v>
      </c>
    </row>
    <row r="7">
      <c r="A7" s="2" t="str">
        <v>periodo_gracia</v>
      </c>
      <c r="B7" s="2" t="str">
        <v>Período de gracia del crédito</v>
      </c>
      <c r="C7" s="16">
        <v>1</v>
      </c>
      <c r="D7" s="2" t="str">
        <v>años</v>
      </c>
      <c r="E7" s="2" t="str">
        <v>Años de gracia. La naturaleza (solo principal o total, con capitalización de intereses) se configura en 4.7 → calendario de deuda.</v>
      </c>
      <c r="F7" s="2" t="str">
        <v>Supuesto editable.</v>
      </c>
    </row>
    <row r="8">
      <c r="A8" s="2" t="str">
        <v>inflacion</v>
      </c>
      <c r="B8" s="2" t="str">
        <v>Inflación prevista (costos variables unitarios de servicios)</v>
      </c>
      <c r="C8" s="15">
        <v>0</v>
      </c>
      <c r="D8" s="2" t="str">
        <v>%</v>
      </c>
      <c r="E8" s="2" t="str">
        <v>Crecimiento anual aplicado EXCLUSIVAMENTE al costo variable unitario de cada servicio (regla «srv_costo_unitario_proy»). No afecta canon, servicios públicos, otros gastos fijos, aranceles, otros impuestos ni royalties, que se rigen por su propio parámetro de inflación de costos fijos. Afecta el estado de resultados y la caja (ambos).</v>
      </c>
      <c r="F8" s="2" t="str">
        <v>Expediente: cotización vigente sin cláusula de indexación documentada (H-029).</v>
      </c>
    </row>
    <row r="9">
      <c r="A9" s="2" t="str">
        <v>inflacion_costos_fijos</v>
      </c>
      <c r="B9" s="2" t="str">
        <v>Inflación de costos fijos (contratos nominales)</v>
      </c>
      <c r="C9" s="15">
        <v>0</v>
      </c>
      <c r="D9" s="2" t="str">
        <v>%</v>
      </c>
      <c r="E9" s="2" t="str">
        <v>Crecimiento anual aplicado al canon, los servicios públicos, otros gastos fijos, aranceles, otros impuestos y royalties. Valor 0 % (por defecto) = HIPÓTESIS DE GASTOS NOMINALES CONSTANTES: cada partida fija permanece a su valor nominal inicial durante todo el horizonte. La hipótesis solo es válida si los contratos reales fijan importes nominales por todo el período (verificación contractual PENDIENTE, no una regla del modelo); no se califica automáticamente de conservadora: si los contratos efectivamente se indexan, mantener 0 % SUBESTIMA los costos y SOBREESTIMA el resultado, y el sentido del sesgo depende de cada partida. Con un valor &gt; 0 el informe presenta la sensibilidad de resultados frente a la indexación. Afecta el estado de resultados y la caja (ambos).</v>
      </c>
      <c r="F9" s="2" t="str">
        <v>Expediente: partidas fijas en 0 o sin contrato de indexación (H-041, H-048).</v>
      </c>
    </row>
    <row r="10">
      <c r="A10" s="2" t="str">
        <v>crecimiento_precios</v>
      </c>
      <c r="B10" s="2" t="str">
        <v>Crecimiento anual de precios</v>
      </c>
      <c r="C10" s="15">
        <v>0</v>
      </c>
      <c r="D10" s="2" t="str">
        <v>%</v>
      </c>
      <c r="E10" s="2" t="str">
        <v>Variación anual prevista de los precios unitarios de los servicios.</v>
      </c>
      <c r="F10" s="2" t="str">
        <v>Expediente: precios constantes de la lista (H-037), sin crecimiento documentado.</v>
      </c>
    </row>
    <row r="11">
      <c r="A11" s="2" t="str">
        <v>crecimiento_volumen</v>
      </c>
      <c r="B11" s="2" t="str">
        <v>Variación anual del volumen (demanda)</v>
      </c>
      <c r="C11" s="15">
        <v>0</v>
      </c>
      <c r="D11" s="2" t="str">
        <v>%</v>
      </c>
      <c r="E11" s="2" t="str">
        <v>Crecimiento anual previsto de la DEMANDA de servicios. La producción real queda limitada por la capacidad instalada del escenario activo.</v>
      </c>
      <c r="F11" s="2" t="str">
        <v>Expediente: demanda mensual prevista constante (H-037). [Contradicción C-14: el EERR del expediente reduce los ingresos un 4,95 % desde el año 2 sin explicación; la plantilla mantiene la demanda del año 1 y registra la divergencia.]</v>
      </c>
    </row>
    <row r="12">
      <c r="A12" s="2" t="str">
        <v>crecimiento_salarios</v>
      </c>
      <c r="B12" s="2" t="str">
        <v>Crecimiento anual de salarios</v>
      </c>
      <c r="C12" s="15">
        <v>0</v>
      </c>
      <c r="D12" s="2" t="str">
        <v>%</v>
      </c>
      <c r="E12" s="2" t="str">
        <v>Crecimiento anual previsto del salario promedio en CUP.</v>
      </c>
      <c r="F12" s="2" t="str">
        <v>Expediente: costo salarial constante (H-035).</v>
      </c>
    </row>
    <row r="13">
      <c r="A13" s="2" t="str">
        <v>pct_gastos_admin</v>
      </c>
      <c r="B13" s="2" t="str">
        <v>Gastos administrativos (% de los ingresos)</v>
      </c>
      <c r="C13" s="15">
        <v>0</v>
      </c>
      <c r="D13" s="2" t="str">
        <v>%</v>
      </c>
      <c r="E13" s="2" t="str">
        <v>Porcentaje de los ingresos totales destinado a gastos administrativos.</v>
      </c>
      <c r="F13" s="2" t="str">
        <v>Expediente (H-041): los gastos generales y de administración del EERR son 100 % fuerza de trabajo (1 248,0 kCUP/año), ya modelada en 4.9; no hay otros gastos administrativos.</v>
      </c>
    </row>
    <row r="14">
      <c r="A14" s="2" t="str">
        <v>pct_mantenimiento</v>
      </c>
      <c r="B14" s="2" t="str">
        <v>Mantenimiento (% de la inversión fija)</v>
      </c>
      <c r="C14" s="15">
        <v>0</v>
      </c>
      <c r="D14" s="2" t="str">
        <v>%</v>
      </c>
      <c r="E14" s="2" t="str">
        <v>Porcentaje de la inversión fija destinado anualmente a mantenimiento (años de operación).</v>
      </c>
      <c r="F14" s="2" t="str">
        <v>Expediente (H-048): «Gastos de Mantenimiento 0,0» en todos los años del EERR. [Brecha B-19: realismo improbable en instalación con rayos X y autoclave.]</v>
      </c>
    </row>
    <row r="15">
      <c r="A15" s="2" t="str">
        <v>factor_costo_laboral</v>
      </c>
      <c r="B15" s="2" t="str">
        <v>Factor de costo laboral</v>
      </c>
      <c r="C15" s="14">
        <v>1</v>
      </c>
      <c r="D15" s="2" t="str">
        <v>×</v>
      </c>
      <c r="E15" s="2" t="str">
        <v>Multiplicador sobre los salarios para reflejar contribuciones y cargas del empleador (1.0 = solo salarios).</v>
      </c>
      <c r="F15" s="2" t="str">
        <v>Expediente: el costo salarial del EERR (4 320 kCUP/año) se toma como costo TOTAL (H-035); las líneas de seguridad social (540,0) y provisión (86,4) del anexo de fuerza de trabajo no concilian con el EERR (C-07).</v>
      </c>
    </row>
    <row r="16">
      <c r="A16" s="2" t="str">
        <v>pct_parte_cubana</v>
      </c>
      <c r="B16" s="2" t="str">
        <v>Participación de la parte cubana en el capital</v>
      </c>
      <c r="C16" s="15">
        <v>0.5</v>
      </c>
      <c r="D16" s="2" t="str">
        <v>%</v>
      </c>
      <c r="E16" s="2" t="str">
        <v>Participación aplicada al reparto: 50 % según el contrato. La tabla de aportaciones del expediente declara 49 % (el diagnóstico de la app señala la incoherencia hasta que se aclare).</v>
      </c>
      <c r="F16" s="2" t="str">
        <v>Contrato (H-013): reparto de beneficios 50/50 (F01, cláusula 7.5). INCOHERENCIA (C-05): la tabla de aportaciones declara participación 49/51 — brecha B-04.</v>
      </c>
    </row>
    <row r="17">
      <c r="A17" s="2" t="str">
        <v>pct_reparto_dividendos</v>
      </c>
      <c r="B17" s="2" t="str">
        <v>Reparto de dividendos (% de la utilidad distribuible)</v>
      </c>
      <c r="C17" s="15">
        <v>1</v>
      </c>
      <c r="D17" s="2" t="str">
        <v>%</v>
      </c>
      <c r="E17" s="2" t="str">
        <v>Fracción de la utilidad distribuible (tras absorber pérdidas acumuladas y constituir la reserva) que se propone distribuir. REPARTO ≠ participación.</v>
      </c>
      <c r="F17" s="2" t="str">
        <v>Expediente (H-042): el EERR distribuye íntegramente las utilidades disponibles (51 059,9 kCUP repartidas 50/50 en 10 años).</v>
      </c>
    </row>
    <row r="18">
      <c r="A18" s="2" t="str">
        <v>pct_reserva_legal</v>
      </c>
      <c r="B18" s="2" t="str">
        <v>Reserva sobre la base distribuible acumulada</v>
      </c>
      <c r="C18" s="15">
        <v>0.16</v>
      </c>
      <c r="D18" s="2" t="str">
        <v>%</v>
      </c>
      <c r="E18" s="2" t="str">
        <v>Fracción de la base distribuible que se retiene como reserva antes de calcular los dividendos propuestos. BASE MATEMÁTICA EXACTA: base_t = MAX(0, UDI del año t + saldo acumulable de ejercicios anteriores — utilidades retenidas netas de pérdidas, de reservas ya constituidas y de repartos ya pagados —); reserva_t = pct_reserva_legal × base_t. La reserva NO se calcula solo sobre la utilidad del año: la base incluye el saldo acumulado de ejercicios anteriores. Supuesto PENDIENTE DE VALIDACIÓN JURÍDICA: la exigencia legal de constituir reservas, su porcentaje y su base exacta deben confirmarse con la normativa societaria aplicable y con la política deseada por el propietario.</v>
      </c>
      <c r="F18" s="2" t="str">
        <v>Derivado (H-042): reservas del EERR ≈ 16 % de la base distribuible en los años 1–7 (5 % contingencias + 1 % fondo de estimulación + ~10 % otras reservas voluntarias; 11 % en los años 8–10). Aproximación editable pendiente de la política societaria real.</v>
      </c>
    </row>
    <row r="19">
      <c r="A19" s="2" t="str">
        <v>pct_recuperacion_capital_trabajo</v>
      </c>
      <c r="B19" s="2" t="str">
        <v>Recuperación del capital de trabajo al cierre</v>
      </c>
      <c r="C19" s="15">
        <v>0</v>
      </c>
      <c r="D19" s="2" t="str">
        <v>%</v>
      </c>
      <c r="E19" s="2" t="str">
        <v>Fracción del capital de trabajo inicial que el modelo libera en el ÚLTIMO año del horizonte. 0 = tratamiento conservador (no se supone recuperación). Cualquier valor &gt; 0 debe justificarse documentalmente.</v>
      </c>
      <c r="F19" s="2" t="str">
        <v>N/A sin capital de trabajo.</v>
      </c>
    </row>
    <row r="20">
      <c r="A20" s="2" t="str">
        <v>servicios_publicos_anual_k</v>
      </c>
      <c r="B20" s="2" t="str">
        <v>Servicios públicos anuales</v>
      </c>
      <c r="C20" s="14">
        <v>0</v>
      </c>
      <c r="D20" s="2" t="str">
        <v>kUSD/año</v>
      </c>
      <c r="E20" s="2" t="str">
        <v>Agua, electricidad y portadores energéticos por año de operación (miles de USD).</v>
      </c>
      <c r="F20" s="2" t="str">
        <v>Expediente (H-048): «Servicios Públicos 0,0» en todos los años del EERR. [Brecha B-19: consumo no estimado.]</v>
      </c>
    </row>
    <row r="21">
      <c r="A21" s="2" t="str">
        <v>canon_anual_k</v>
      </c>
      <c r="B21" s="2" t="str">
        <v>Canon anual</v>
      </c>
      <c r="C21" s="14">
        <v>0</v>
      </c>
      <c r="D21" s="2" t="str">
        <v>kUSD/año</v>
      </c>
      <c r="E21" s="2" t="str">
        <v>Pago anual por el derecho de uso del suelo/instalaciones en años de operación (miles de USD).</v>
      </c>
      <c r="F21" s="2" t="str">
        <v>PENDIENTE (H-047): el importe del arrendamiento no consta; CSMC lo garantiza solo en preapertura y los primeros 6 meses (F02). Brecha B-18.</v>
      </c>
    </row>
    <row r="22">
      <c r="A22" s="2" t="str">
        <v>otros_gastos_fijos_k</v>
      </c>
      <c r="B22" s="2" t="str">
        <v>Otros gastos fijos anuales</v>
      </c>
      <c r="C22" s="14">
        <v>0</v>
      </c>
      <c r="D22" s="2" t="str">
        <v>kUSD/año</v>
      </c>
      <c r="E22" s="2" t="str">
        <v>Gastos fijos de operación no incluidos en otras partidas (seguros, comunicaciones, otros) en miles de USD.</v>
      </c>
      <c r="F22" s="2" t="str">
        <v>Expediente (H-041/H-048): sin otros gastos fijos reconocidos.</v>
      </c>
    </row>
    <row r="23">
      <c r="A23" s="2" t="str">
        <v>credito_monto_k</v>
      </c>
      <c r="B23" s="2" t="str">
        <v>Monto del crédito externo</v>
      </c>
      <c r="C23" s="14">
        <v>0</v>
      </c>
      <c r="D23" s="2" t="str">
        <v>kUSD</v>
      </c>
      <c r="E23" s="2" t="str">
        <v>Principal del crédito externo previsto (miles de USD). Desembolso, gracia y amortización: 4.7 → calendario de deuda.</v>
      </c>
      <c r="F23" s="2" t="str">
        <v>Expediente (H-030): sin financiamiento externo.</v>
      </c>
    </row>
    <row r="24">
      <c r="A24" s="2" t="str">
        <v>otras_fuentes_k</v>
      </c>
      <c r="B24" s="2" t="str">
        <v>Otras fuentes de financiamiento</v>
      </c>
      <c r="C24" s="14">
        <v>0</v>
      </c>
      <c r="D24" s="2" t="str">
        <v>kUSD</v>
      </c>
      <c r="E24" s="2" t="str">
        <v>Fuentes disponibles distintas de aportaciones y crédito (miles de USD).</v>
      </c>
      <c r="F24" s="2" t="str">
        <v>Expediente (H-030): sin otras fuentes.</v>
      </c>
    </row>
    <row r="25">
      <c r="A25" s="2" t="str">
        <v>capital_trabajo_k</v>
      </c>
      <c r="B25" s="2" t="str">
        <v>Capital de trabajo inicial</v>
      </c>
      <c r="C25" s="14">
        <v>0</v>
      </c>
      <c r="D25" s="2" t="str">
        <v>kUSD</v>
      </c>
      <c r="E25" s="2" t="str">
        <v>Capital de trabajo dentro del costo total de la inversión inicial (miles de USD). Se desembolsa en el año 0; su recuperación al cierre solo entra si el parámetro de recuperación lo indica.</v>
      </c>
      <c r="F25" s="2" t="str">
        <v>Expediente (H-023): capital de trabajo inicial 0,00. [Anomalía registrada — brecha B-12: el propio estado de situación proyecta existencias y cuentas por cobrar.]</v>
      </c>
    </row>
    <row r="26">
      <c r="A26" s="2" t="str">
        <v>aranceles_anual_k</v>
      </c>
      <c r="B26" s="2" t="str">
        <v>Aranceles anuales</v>
      </c>
      <c r="C26" s="14">
        <v>0</v>
      </c>
      <c r="D26" s="2" t="str">
        <v>kUSD/año</v>
      </c>
      <c r="E26" s="2" t="str">
        <v>Derechos aduaneros previstos por año de operación (miles de USD).</v>
      </c>
      <c r="F26" s="2" t="str">
        <v>Expediente (H-049): «Libre de impuestos x AEI» en la cotización de equipos; balance externo con aranceles 0. Validación normativa pendiente (V-04).</v>
      </c>
    </row>
    <row r="27">
      <c r="A27" s="2" t="str">
        <v>otros_impuestos_anual_k</v>
      </c>
      <c r="B27" s="2" t="str">
        <v>Otros impuestos y tasas anuales</v>
      </c>
      <c r="C27" s="14">
        <v>5.68</v>
      </c>
      <c r="D27" s="2" t="str">
        <v>kUSD/año</v>
      </c>
      <c r="E27" s="2" t="str">
        <v>Impuestos, tasas y contribuciones distintas del impuesto sobre utilidades, por año de operación (miles de USD).</v>
      </c>
      <c r="F27" s="2" t="str">
        <v>Expediente (H-034): 682,1 miles de CUP/año (impuesto de transporte terrestre + contribución al desarrollo local 1 % de las ventas brutas + tasa de radicación de anuncios) = 5,68 kUSD a la tasa 120. [Pendiente: desglose, brecha B-17.]</v>
      </c>
    </row>
    <row r="28">
      <c r="A28" s="2" t="str">
        <v>royalties_anual_k</v>
      </c>
      <c r="B28" s="2" t="str">
        <v>Royalties anuales</v>
      </c>
      <c r="C28" s="14">
        <v>0</v>
      </c>
      <c r="D28" s="2" t="str">
        <v>kUSD/año</v>
      </c>
      <c r="E28" s="2" t="str">
        <v>Pagos anuales por regalías tecnológicas o de marca al país (miles de USD).</v>
      </c>
      <c r="F28" s="2" t="str">
        <v>Expediente: sin royalties (F08, beneficio país con la partida en 0).</v>
      </c>
    </row>
    <row r="29">
      <c r="A29" s="2" t="str">
        <v>otros_beneficios_pais_anual_k</v>
      </c>
      <c r="B29" s="2" t="str">
        <v>Otros ingresos anuales al país</v>
      </c>
      <c r="C29" s="14">
        <v>0</v>
      </c>
      <c r="D29" s="2" t="str">
        <v>kUSD/año</v>
      </c>
      <c r="E29" s="2" t="str">
        <v>Otros aportes directos al país no contemplados en las partidas anteriores (miles de USD, años de operación).</v>
      </c>
      <c r="F29" s="2" t="str">
        <v>Expediente: sin otros beneficios al país (F08 p. 19).</v>
      </c>
    </row>
    <row r="30">
      <c r="A30" s="2" t="str">
        <v>umbral_utilizacion_capacidad</v>
      </c>
      <c r="B30" s="2" t="str">
        <v>Umbral de utilización de recursos (análisis)</v>
      </c>
      <c r="C30" s="15">
        <v>0.9</v>
      </c>
      <c r="D30" s="2" t="str">
        <v>%</v>
      </c>
      <c r="E30" s="2" t="str">
        <v>Umbral configurable del análisis: porcentaje de utilización de un recurso a partir del cual el texto analítico advierte saturación. No interviene en ningún cálculo: solo califica los análisis.</v>
      </c>
      <c r="F30" s="2" t="str">
        <v>Política de análisis configurable.</v>
      </c>
    </row>
    <row r="31">
      <c r="A31" s="2" t="str">
        <v>umbral_margen_minimo</v>
      </c>
      <c r="B31" s="2" t="str">
        <v>Umbral de margen de contribución mínimo (análisis)</v>
      </c>
      <c r="C31" s="15">
        <v>0.15</v>
      </c>
      <c r="D31" s="2" t="str">
        <v>%</v>
      </c>
      <c r="E31" s="2" t="str">
        <v>Margen sobre ingresos por debajo del cual el análisis advierte que una línea de servicio aporta poco margen. Solo califica los análisis.</v>
      </c>
      <c r="F31" s="2" t="str">
        <v>Política de análisis configurable.</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I20"/>
  <sheetViews>
    <sheetView workbookViewId="0"/>
  </sheetViews>
  <cols>
    <col min="1" max="1" width="52.83203125" customWidth="1"/>
    <col min="2" max="2" width="16.83203125" customWidth="1"/>
    <col min="3" max="3" width="10.83203125" customWidth="1"/>
    <col min="4" max="4" width="12.83203125" customWidth="1"/>
    <col min="5" max="5" width="12.83203125" customWidth="1"/>
    <col min="6" max="6" width="14.83203125" customWidth="1"/>
    <col min="7" max="7" width="10.83203125" customWidth="1"/>
    <col min="8" max="8" width="14.83203125" customWidth="1"/>
    <col min="9" max="9" width="40.83203125" customWidth="1"/>
  </cols>
  <sheetData>
    <row r="1">
      <c r="A1" s="3" t="str">
        <v>Inversiones (4.10) — registro de activos</v>
      </c>
    </row>
    <row r="3">
      <c r="A3" s="10" t="str">
        <v>Concepto</v>
      </c>
      <c r="B3" s="10" t="str">
        <v>Categoría</v>
      </c>
      <c r="C3" s="10" t="str">
        <v>Moneda</v>
      </c>
      <c r="D3" s="10" t="str">
        <v>Monto</v>
      </c>
      <c r="E3" s="10" t="str">
        <v>Vida útil (años)</v>
      </c>
      <c r="F3" s="10" t="str">
        <v>Disponible desde año</v>
      </c>
      <c r="G3" s="10" t="str">
        <v>Residual %</v>
      </c>
      <c r="H3" s="10" t="str">
        <v>Dep. anual (calendario)</v>
      </c>
      <c r="I3" s="10" t="str">
        <v>Observación</v>
      </c>
    </row>
    <row r="4">
      <c r="A4" s="15" t="str">
        <v>Compresor de aire seco para uso estomatológico (recupera la conformidad técnica: el actual usa aceite)</v>
      </c>
      <c r="B4" s="15" t="str">
        <v>inversion_fija</v>
      </c>
      <c r="C4" s="15" t="str">
        <v>USD</v>
      </c>
      <c r="D4" s="14">
        <v>3.885</v>
      </c>
      <c r="E4" s="17">
        <v>17</v>
      </c>
      <c r="F4" s="17">
        <v>1</v>
      </c>
      <c r="G4" s="15">
        <v>0</v>
      </c>
      <c r="H4" s="6">
        <f>=IF(AND(B4="inversion_fija",E4&gt;0),IF(C4="CUP",D4/Parametros!$C$4,D4)*(1-G4)/E4,0)</f>
        <v>0.22852941176470587</v>
      </c>
      <c r="I4" s="2" t="str">
        <v>H-021 (F06: 3 500,00 + envío 350,00 + transporte 35,00 = 3 885,00 USD). Depreciación del expediente: 6 % anual ≈ 16,7 años (H-031); se modela lineal a 17.</v>
      </c>
    </row>
    <row r="5">
      <c r="A5" s="15" t="str">
        <v>Prensa hidráulica de estomatología (moderniza el proceso de prótesis)</v>
      </c>
      <c r="B5" s="15" t="str">
        <v>inversion_fija</v>
      </c>
      <c r="C5" s="15" t="str">
        <v>USD</v>
      </c>
      <c r="D5" s="14">
        <v>0.413</v>
      </c>
      <c r="E5" s="17">
        <v>17</v>
      </c>
      <c r="F5" s="17">
        <v>1</v>
      </c>
      <c r="G5" s="15">
        <v>0</v>
      </c>
      <c r="H5" s="6">
        <f>=IF(AND(B5="inversion_fija",E5&gt;0),IF(C5="CUP",D5/Parametros!$C$4,D5)*(1-G5)/E5,0)</f>
        <v>0.024294117647058824</v>
      </c>
      <c r="I5" s="2" t="str">
        <v>H-021 (F06: 316,00 + 62,00 + 35,00 = 413,00 USD). H-064: sustituye la prensa antigua con repetición de procesos.</v>
      </c>
    </row>
    <row r="6">
      <c r="A6" s="15" t="str">
        <v>Micromotor de mano (tecnología nueva para prótesis)</v>
      </c>
      <c r="B6" s="15" t="str">
        <v>inversion_fija</v>
      </c>
      <c r="C6" s="15" t="str">
        <v>USD</v>
      </c>
      <c r="D6" s="14">
        <v>0.284</v>
      </c>
      <c r="E6" s="17">
        <v>17</v>
      </c>
      <c r="F6" s="17">
        <v>1</v>
      </c>
      <c r="G6" s="15">
        <v>0</v>
      </c>
      <c r="H6" s="6">
        <f>=IF(AND(B6="inversion_fija",E6&gt;0),IF(C6="CUP",D6/Parametros!$C$4,D6)*(1-G6)/E6,0)</f>
        <v>0.016705882352941175</v>
      </c>
      <c r="I6" s="2" t="str">
        <v>H-021 (F06: 209,00 + 40,00 + 35,00 = 284,00 USD). H-064: hoy se corrige con pieza de mano (roturas frecuentes).</v>
      </c>
    </row>
    <row r="7">
      <c r="A7" s="15" t="str">
        <v>Eliminador de burbujas (calidad de prótesis)</v>
      </c>
      <c r="B7" s="15" t="str">
        <v>inversion_fija</v>
      </c>
      <c r="C7" s="15" t="str">
        <v>USD</v>
      </c>
      <c r="D7" s="14">
        <v>0.29</v>
      </c>
      <c r="E7" s="17">
        <v>17</v>
      </c>
      <c r="F7" s="17">
        <v>1</v>
      </c>
      <c r="G7" s="15">
        <v>0</v>
      </c>
      <c r="H7" s="6">
        <f>=IF(AND(B7="inversion_fija",E7&gt;0),IF(C7="CUP",D7/Parametros!$C$4,D7)*(1-G7)/E7,0)</f>
        <v>0.017058823529411765</v>
      </c>
      <c r="I7" s="2" t="str">
        <v>H-021 (F06: 285,00 + 70,00 + 35,00 = 290,00 USD).</v>
      </c>
    </row>
    <row r="8">
      <c r="A8" s="15" t="str">
        <v>Olla polimerizadora a presión (sustituye la cocción en microondas)</v>
      </c>
      <c r="B8" s="15" t="str">
        <v>inversion_fija</v>
      </c>
      <c r="C8" s="15" t="str">
        <v>USD</v>
      </c>
      <c r="D8" s="14">
        <v>0.402</v>
      </c>
      <c r="E8" s="17">
        <v>17</v>
      </c>
      <c r="F8" s="17">
        <v>1</v>
      </c>
      <c r="G8" s="15">
        <v>0</v>
      </c>
      <c r="H8" s="6">
        <f>=IF(AND(B8="inversion_fija",E8&gt;0),IF(C8="CUP",D8/Parametros!$C$4,D8)*(1-G8)/E8,0)</f>
        <v>0.023647058823529413</v>
      </c>
      <c r="I8" s="2" t="str">
        <v>H-021 (F06: 289,00 + 78,00 + 35,00 = 402,00 USD).</v>
      </c>
    </row>
    <row r="9">
      <c r="A9" s="15" t="str">
        <v>Gastos financieros del período de inversión</v>
      </c>
      <c r="B9" s="15" t="str">
        <v>gastos_previos</v>
      </c>
      <c r="C9" s="15" t="str">
        <v>CUP</v>
      </c>
      <c r="D9" s="14">
        <v>1.2</v>
      </c>
      <c r="E9" s="17">
        <v>0</v>
      </c>
      <c r="F9" s="17">
        <v>0</v>
      </c>
      <c r="G9" s="15">
        <v>0</v>
      </c>
      <c r="H9" s="6">
        <f>=IF(AND(B9="inversion_fija",E9&gt;0),IF(C9="CUP",D9/Parametros!$C$4,D9)*(1-G9)/E9,0)</f>
        <v>0</v>
      </c>
      <c r="I9" s="2" t="str">
        <v>H-022 (F08 p. 5). Aportados por CSMC (H-020).</v>
      </c>
    </row>
    <row r="10">
      <c r="A10" s="15" t="str">
        <v>Otros gastos de preoperación (sin desglose en el expediente)</v>
      </c>
      <c r="B10" s="15" t="str">
        <v>gastos_previos</v>
      </c>
      <c r="C10" s="15" t="str">
        <v>CUP</v>
      </c>
      <c r="D10" s="14">
        <v>25</v>
      </c>
      <c r="E10" s="17">
        <v>0</v>
      </c>
      <c r="F10" s="17">
        <v>0</v>
      </c>
      <c r="G10" s="15">
        <v>0</v>
      </c>
      <c r="H10" s="6">
        <f>=IF(AND(B10="inversion_fija",E10&gt;0),IF(C10="CUP",D10/Parametros!$C$4,D10)*(1-G10)/E10,0)</f>
        <v>0</v>
      </c>
      <c r="I10" s="2" t="str">
        <v>H-022 (F08 p. 5: «Otros gastos de Pre-Operación (Detallar) 25,00»). [Pendiente: desglose y posible solape con los salarios de preapertura — brecha B-11.]</v>
      </c>
    </row>
    <row r="12">
      <c r="A12" s="18" t="str">
        <v>Subtotal gastos previos (USD)</v>
      </c>
      <c r="D12" s="19">
        <f>=SUMIFS($D$4:$D$10,$B$4:$B$10,"gastos_previos",$C$4:$C$10,"USD")</f>
        <v>0</v>
      </c>
    </row>
    <row r="13">
      <c r="A13" s="20" t="str">
        <v>Subtotal inversión fija (USD)</v>
      </c>
      <c r="D13" s="19">
        <f>=SUMIFS($D$4:$D$10,$B$4:$B$10,"inversion_fija",$C$4:$C$10,"USD")</f>
        <v>0</v>
      </c>
    </row>
    <row r="14">
      <c r="A14" s="20" t="str">
        <v>Subtotal inversión fija (CUP)</v>
      </c>
      <c r="D14" s="19">
        <f>=SUMIFS($D$4:$D$10,$B$4:$B$10,"inversion_fija",$C$4:$C$10,"CUP")</f>
        <v>0</v>
      </c>
    </row>
    <row r="15">
      <c r="A15" s="20" t="str">
        <v>Capital de trabajo (parámetro)</v>
      </c>
      <c r="D15" s="19">
        <f>=Parametros!$C$25</f>
        <v>0</v>
      </c>
    </row>
    <row r="16">
      <c r="A16" s="20" t="str">
        <v>INVERSIÓN TOTAL (regla del motor)</v>
      </c>
      <c r="D16" s="19">
        <f>=Financiacion!$D$8</f>
        <v>5.492333333333334</v>
      </c>
    </row>
    <row r="18">
      <c r="A18" s="3" t="str">
        <v>Desglose de vehículos</v>
      </c>
    </row>
    <row r="19">
      <c r="A19" s="10" t="str">
        <v>Tipo</v>
      </c>
      <c r="B19" s="10" t="str">
        <v>Cantidad</v>
      </c>
      <c r="C19" s="10" t="str">
        <v>Monto (kUSD)</v>
      </c>
    </row>
    <row r="20">
      <c r="A20" s="20" t="str">
        <v>Total vehículos</v>
      </c>
      <c r="C20" s="19">
        <f>=SUM(C20:C19)</f>
        <v>0</v>
      </c>
    </row>
  </sheetData>
  <autoFilter ref="A3:I37"/>
  <ignoredErrors>
    <ignoredError numberStoredAsText="1" sqref="A1:I20"/>
  </ignoredErrors>
</worksheet>
</file>

<file path=xl/worksheets/sheet5.xml><?xml version="1.0" encoding="utf-8"?>
<worksheet xmlns="http://schemas.openxmlformats.org/spreadsheetml/2006/main" xmlns:r="http://schemas.openxmlformats.org/officeDocument/2006/relationships">
  <dimension ref="A1:U12"/>
  <sheetViews>
    <sheetView workbookViewId="0"/>
  </sheetViews>
  <cols>
    <col min="1" max="1" width="10.83203125" customWidth="1"/>
    <col min="2" max="2" width="44.83203125" customWidth="1"/>
    <col min="3" max="3" width="8.83203125" customWidth="1"/>
    <col min="4" max="4" width="10.83203125" customWidth="1"/>
    <col min="5" max="5" width="8.83203125" customWidth="1"/>
    <col min="6" max="6" width="10.83203125" customWidth="1"/>
    <col min="7" max="7" width="10.83203125" customWidth="1"/>
    <col min="8" max="8" width="12.83203125" customWidth="1"/>
    <col min="9" max="9" width="9.83203125" customWidth="1"/>
    <col min="10" max="10" width="9.83203125" customWidth="1"/>
    <col min="11" max="11" width="9.83203125" customWidth="1"/>
    <col min="12" max="12" width="9.83203125" customWidth="1"/>
    <col min="13" max="13" width="9.83203125" customWidth="1"/>
    <col min="14" max="14" width="9.83203125" customWidth="1"/>
    <col min="15" max="15" width="9.83203125" customWidth="1"/>
    <col min="16" max="16" width="9.83203125" customWidth="1"/>
    <col min="17" max="17" width="9.83203125" customWidth="1"/>
    <col min="18" max="18" width="9.83203125" customWidth="1"/>
    <col min="19" max="19" width="9.83203125" customWidth="1"/>
    <col min="20" max="20" width="10.83203125" customWidth="1"/>
    <col min="21" max="21" width="10.83203125" customWidth="1"/>
  </cols>
  <sheetData>
    <row r="1">
      <c r="A1" s="3" t="str">
        <v>Depreciación por activo (misión §5) — miles de USD</v>
      </c>
    </row>
    <row r="2">
      <c r="A2" s="8" t="str">
        <v>Método lineal por activo: cuota = base × (1 − residual) / vida; deprecia solo desde el año de disponibilidad y la acumulada se limita a la base depreciable (MIN contra lo acumulado).</v>
      </c>
    </row>
    <row r="3">
      <c r="A3" s="10" t="str">
        <v>ID</v>
      </c>
      <c r="B3" s="10" t="str">
        <v>Concepto</v>
      </c>
      <c r="C3" s="10" t="str">
        <v>Moneda</v>
      </c>
      <c r="D3" s="10" t="str">
        <v>Monto</v>
      </c>
      <c r="E3" s="10" t="str">
        <v>Vida útil</v>
      </c>
      <c r="F3" s="10" t="str">
        <v>Disponible</v>
      </c>
      <c r="G3" s="10" t="str">
        <v>Residual %</v>
      </c>
      <c r="H3" s="10" t="str">
        <v>Base depreciable</v>
      </c>
      <c r="I3" s="10" t="str">
        <v>Año 0</v>
      </c>
      <c r="J3" s="10" t="str">
        <v>Año 1</v>
      </c>
      <c r="K3" s="10" t="str">
        <v>Año 2</v>
      </c>
      <c r="L3" s="10" t="str">
        <v>Año 3</v>
      </c>
      <c r="M3" s="10" t="str">
        <v>Año 4</v>
      </c>
      <c r="N3" s="10" t="str">
        <v>Año 5</v>
      </c>
      <c r="O3" s="10" t="str">
        <v>Año 6</v>
      </c>
      <c r="P3" s="10" t="str">
        <v>Año 7</v>
      </c>
      <c r="Q3" s="10" t="str">
        <v>Año 8</v>
      </c>
      <c r="R3" s="10" t="str">
        <v>Año 9</v>
      </c>
      <c r="S3" s="10" t="str">
        <v>Año 10</v>
      </c>
      <c r="T3" s="10" t="str">
        <v>Acumulada</v>
      </c>
      <c r="U3" s="10" t="str">
        <v>VNL</v>
      </c>
    </row>
    <row r="4">
      <c r="A4" s="2" t="str">
        <v>iv-h1</v>
      </c>
      <c r="B4" s="2" t="str">
        <v>Compresor de aire seco para uso estomatológico (recupera la conformidad técnica: el actual usa aceite)</v>
      </c>
      <c r="C4" s="2" t="str">
        <v>USD</v>
      </c>
      <c r="D4" s="6">
        <f>=Inversion!$D$4</f>
        <v>3.885</v>
      </c>
      <c r="E4" s="11">
        <f>=Inversion!$E$4</f>
        <v>17</v>
      </c>
      <c r="F4" s="11">
        <f>=Inversion!$F$4</f>
        <v>1</v>
      </c>
      <c r="G4" s="21">
        <f>=Inversion!$G$4</f>
        <v>0</v>
      </c>
      <c r="H4" s="6">
        <f>=IF(C4="CUP",D4/Parametros!$C$4,D4)*(1-G4)</f>
        <v>3.885</v>
      </c>
      <c r="I4" s="6">
        <f>=IF(AND(I$3&gt;=$F4,I$3&lt;$F4+$E4),MIN($H4/$E4,$H4),0)</f>
        <v>0</v>
      </c>
      <c r="J4" s="6">
        <f>=IF(AND(J$3&gt;=$F4,J$3&lt;$F4+$E4),MIN($H4/$E4,$H4-SUM($I4:I4)),0)</f>
        <v>0.22852941176470587</v>
      </c>
      <c r="K4" s="6">
        <f>=IF(AND(K$3&gt;=$F4,K$3&lt;$F4+$E4),MIN($H4/$E4,$H4-SUM($I4:J4)),0)</f>
        <v>0.22852941176470587</v>
      </c>
      <c r="L4" s="6">
        <f>=IF(AND(L$3&gt;=$F4,L$3&lt;$F4+$E4),MIN($H4/$E4,$H4-SUM($I4:K4)),0)</f>
        <v>0.22852941176470587</v>
      </c>
      <c r="M4" s="6">
        <f>=IF(AND(M$3&gt;=$F4,M$3&lt;$F4+$E4),MIN($H4/$E4,$H4-SUM($I4:L4)),0)</f>
        <v>0.22852941176470587</v>
      </c>
      <c r="N4" s="6">
        <f>=IF(AND(N$3&gt;=$F4,N$3&lt;$F4+$E4),MIN($H4/$E4,$H4-SUM($I4:M4)),0)</f>
        <v>0.22852941176470587</v>
      </c>
      <c r="O4" s="6">
        <f>=IF(AND(O$3&gt;=$F4,O$3&lt;$F4+$E4),MIN($H4/$E4,$H4-SUM($I4:N4)),0)</f>
        <v>0.22852941176470587</v>
      </c>
      <c r="P4" s="6">
        <f>=IF(AND(P$3&gt;=$F4,P$3&lt;$F4+$E4),MIN($H4/$E4,$H4-SUM($I4:O4)),0)</f>
        <v>0.22852941176470587</v>
      </c>
      <c r="Q4" s="6">
        <f>=IF(AND(Q$3&gt;=$F4,Q$3&lt;$F4+$E4),MIN($H4/$E4,$H4-SUM($I4:P4)),0)</f>
        <v>0.22852941176470587</v>
      </c>
      <c r="R4" s="6">
        <f>=IF(AND(R$3&gt;=$F4,R$3&lt;$F4+$E4),MIN($H4/$E4,$H4-SUM($I4:Q4)),0)</f>
        <v>0.22852941176470587</v>
      </c>
      <c r="S4" s="6">
        <f>=IF(AND(S$3&gt;=$F4,S$3&lt;$F4+$E4),MIN($H4/$E4,$H4-SUM($I4:R4)),0)</f>
        <v>0.22852941176470587</v>
      </c>
      <c r="T4" s="19">
        <f>=SUM(I4:S4)</f>
        <v>2.2852941176470587</v>
      </c>
      <c r="U4" s="6">
        <f>=$H4-T4</f>
        <v>1.599705882352941</v>
      </c>
    </row>
    <row r="5">
      <c r="A5" s="2" t="str">
        <v>iv-h2</v>
      </c>
      <c r="B5" s="2" t="str">
        <v>Prensa hidráulica de estomatología (moderniza el proceso de prótesis)</v>
      </c>
      <c r="C5" s="2" t="str">
        <v>USD</v>
      </c>
      <c r="D5" s="6">
        <f>=Inversion!$D$5</f>
        <v>0.413</v>
      </c>
      <c r="E5" s="11">
        <f>=Inversion!$E$5</f>
        <v>17</v>
      </c>
      <c r="F5" s="11">
        <f>=Inversion!$F$5</f>
        <v>1</v>
      </c>
      <c r="G5" s="21">
        <f>=Inversion!$G$5</f>
        <v>0</v>
      </c>
      <c r="H5" s="6">
        <f>=IF(C5="CUP",D5/Parametros!$C$4,D5)*(1-G5)</f>
        <v>0.413</v>
      </c>
      <c r="I5" s="6">
        <f>=IF(AND(I$3&gt;=$F5,I$3&lt;$F5+$E5),MIN($H5/$E5,$H5),0)</f>
        <v>0</v>
      </c>
      <c r="J5" s="6">
        <f>=IF(AND(J$3&gt;=$F5,J$3&lt;$F5+$E5),MIN($H5/$E5,$H5-SUM($I5:I5)),0)</f>
        <v>0.024294117647058824</v>
      </c>
      <c r="K5" s="6">
        <f>=IF(AND(K$3&gt;=$F5,K$3&lt;$F5+$E5),MIN($H5/$E5,$H5-SUM($I5:J5)),0)</f>
        <v>0.024294117647058824</v>
      </c>
      <c r="L5" s="6">
        <f>=IF(AND(L$3&gt;=$F5,L$3&lt;$F5+$E5),MIN($H5/$E5,$H5-SUM($I5:K5)),0)</f>
        <v>0.024294117647058824</v>
      </c>
      <c r="M5" s="6">
        <f>=IF(AND(M$3&gt;=$F5,M$3&lt;$F5+$E5),MIN($H5/$E5,$H5-SUM($I5:L5)),0)</f>
        <v>0.024294117647058824</v>
      </c>
      <c r="N5" s="6">
        <f>=IF(AND(N$3&gt;=$F5,N$3&lt;$F5+$E5),MIN($H5/$E5,$H5-SUM($I5:M5)),0)</f>
        <v>0.024294117647058824</v>
      </c>
      <c r="O5" s="6">
        <f>=IF(AND(O$3&gt;=$F5,O$3&lt;$F5+$E5),MIN($H5/$E5,$H5-SUM($I5:N5)),0)</f>
        <v>0.024294117647058824</v>
      </c>
      <c r="P5" s="6">
        <f>=IF(AND(P$3&gt;=$F5,P$3&lt;$F5+$E5),MIN($H5/$E5,$H5-SUM($I5:O5)),0)</f>
        <v>0.024294117647058824</v>
      </c>
      <c r="Q5" s="6">
        <f>=IF(AND(Q$3&gt;=$F5,Q$3&lt;$F5+$E5),MIN($H5/$E5,$H5-SUM($I5:P5)),0)</f>
        <v>0.024294117647058824</v>
      </c>
      <c r="R5" s="6">
        <f>=IF(AND(R$3&gt;=$F5,R$3&lt;$F5+$E5),MIN($H5/$E5,$H5-SUM($I5:Q5)),0)</f>
        <v>0.024294117647058824</v>
      </c>
      <c r="S5" s="6">
        <f>=IF(AND(S$3&gt;=$F5,S$3&lt;$F5+$E5),MIN($H5/$E5,$H5-SUM($I5:R5)),0)</f>
        <v>0.024294117647058824</v>
      </c>
      <c r="T5" s="19">
        <f>=SUM(I5:S5)</f>
        <v>0.24294117647058824</v>
      </c>
      <c r="U5" s="6">
        <f>=$H5-T5</f>
        <v>0.17005882352941173</v>
      </c>
    </row>
    <row r="6">
      <c r="A6" s="2" t="str">
        <v>iv-h3</v>
      </c>
      <c r="B6" s="2" t="str">
        <v>Micromotor de mano (tecnología nueva para prótesis)</v>
      </c>
      <c r="C6" s="2" t="str">
        <v>USD</v>
      </c>
      <c r="D6" s="6">
        <f>=Inversion!$D$6</f>
        <v>0.284</v>
      </c>
      <c r="E6" s="11">
        <f>=Inversion!$E$6</f>
        <v>17</v>
      </c>
      <c r="F6" s="11">
        <f>=Inversion!$F$6</f>
        <v>1</v>
      </c>
      <c r="G6" s="21">
        <f>=Inversion!$G$6</f>
        <v>0</v>
      </c>
      <c r="H6" s="6">
        <f>=IF(C6="CUP",D6/Parametros!$C$4,D6)*(1-G6)</f>
        <v>0.284</v>
      </c>
      <c r="I6" s="6">
        <f>=IF(AND(I$3&gt;=$F6,I$3&lt;$F6+$E6),MIN($H6/$E6,$H6),0)</f>
        <v>0</v>
      </c>
      <c r="J6" s="6">
        <f>=IF(AND(J$3&gt;=$F6,J$3&lt;$F6+$E6),MIN($H6/$E6,$H6-SUM($I6:I6)),0)</f>
        <v>0.016705882352941175</v>
      </c>
      <c r="K6" s="6">
        <f>=IF(AND(K$3&gt;=$F6,K$3&lt;$F6+$E6),MIN($H6/$E6,$H6-SUM($I6:J6)),0)</f>
        <v>0.016705882352941175</v>
      </c>
      <c r="L6" s="6">
        <f>=IF(AND(L$3&gt;=$F6,L$3&lt;$F6+$E6),MIN($H6/$E6,$H6-SUM($I6:K6)),0)</f>
        <v>0.016705882352941175</v>
      </c>
      <c r="M6" s="6">
        <f>=IF(AND(M$3&gt;=$F6,M$3&lt;$F6+$E6),MIN($H6/$E6,$H6-SUM($I6:L6)),0)</f>
        <v>0.016705882352941175</v>
      </c>
      <c r="N6" s="6">
        <f>=IF(AND(N$3&gt;=$F6,N$3&lt;$F6+$E6),MIN($H6/$E6,$H6-SUM($I6:M6)),0)</f>
        <v>0.016705882352941175</v>
      </c>
      <c r="O6" s="6">
        <f>=IF(AND(O$3&gt;=$F6,O$3&lt;$F6+$E6),MIN($H6/$E6,$H6-SUM($I6:N6)),0)</f>
        <v>0.016705882352941175</v>
      </c>
      <c r="P6" s="6">
        <f>=IF(AND(P$3&gt;=$F6,P$3&lt;$F6+$E6),MIN($H6/$E6,$H6-SUM($I6:O6)),0)</f>
        <v>0.016705882352941175</v>
      </c>
      <c r="Q6" s="6">
        <f>=IF(AND(Q$3&gt;=$F6,Q$3&lt;$F6+$E6),MIN($H6/$E6,$H6-SUM($I6:P6)),0)</f>
        <v>0.016705882352941175</v>
      </c>
      <c r="R6" s="6">
        <f>=IF(AND(R$3&gt;=$F6,R$3&lt;$F6+$E6),MIN($H6/$E6,$H6-SUM($I6:Q6)),0)</f>
        <v>0.016705882352941175</v>
      </c>
      <c r="S6" s="6">
        <f>=IF(AND(S$3&gt;=$F6,S$3&lt;$F6+$E6),MIN($H6/$E6,$H6-SUM($I6:R6)),0)</f>
        <v>0.016705882352941175</v>
      </c>
      <c r="T6" s="19">
        <f>=SUM(I6:S6)</f>
        <v>0.1670588235294118</v>
      </c>
      <c r="U6" s="6">
        <f>=$H6-T6</f>
        <v>0.11694117647058819</v>
      </c>
    </row>
    <row r="7">
      <c r="A7" s="2" t="str">
        <v>iv-h4</v>
      </c>
      <c r="B7" s="2" t="str">
        <v>Eliminador de burbujas (calidad de prótesis)</v>
      </c>
      <c r="C7" s="2" t="str">
        <v>USD</v>
      </c>
      <c r="D7" s="6">
        <f>=Inversion!$D$7</f>
        <v>0.29</v>
      </c>
      <c r="E7" s="11">
        <f>=Inversion!$E$7</f>
        <v>17</v>
      </c>
      <c r="F7" s="11">
        <f>=Inversion!$F$7</f>
        <v>1</v>
      </c>
      <c r="G7" s="21">
        <f>=Inversion!$G$7</f>
        <v>0</v>
      </c>
      <c r="H7" s="6">
        <f>=IF(C7="CUP",D7/Parametros!$C$4,D7)*(1-G7)</f>
        <v>0.29</v>
      </c>
      <c r="I7" s="6">
        <f>=IF(AND(I$3&gt;=$F7,I$3&lt;$F7+$E7),MIN($H7/$E7,$H7),0)</f>
        <v>0</v>
      </c>
      <c r="J7" s="6">
        <f>=IF(AND(J$3&gt;=$F7,J$3&lt;$F7+$E7),MIN($H7/$E7,$H7-SUM($I7:I7)),0)</f>
        <v>0.017058823529411765</v>
      </c>
      <c r="K7" s="6">
        <f>=IF(AND(K$3&gt;=$F7,K$3&lt;$F7+$E7),MIN($H7/$E7,$H7-SUM($I7:J7)),0)</f>
        <v>0.017058823529411765</v>
      </c>
      <c r="L7" s="6">
        <f>=IF(AND(L$3&gt;=$F7,L$3&lt;$F7+$E7),MIN($H7/$E7,$H7-SUM($I7:K7)),0)</f>
        <v>0.017058823529411765</v>
      </c>
      <c r="M7" s="6">
        <f>=IF(AND(M$3&gt;=$F7,M$3&lt;$F7+$E7),MIN($H7/$E7,$H7-SUM($I7:L7)),0)</f>
        <v>0.017058823529411765</v>
      </c>
      <c r="N7" s="6">
        <f>=IF(AND(N$3&gt;=$F7,N$3&lt;$F7+$E7),MIN($H7/$E7,$H7-SUM($I7:M7)),0)</f>
        <v>0.017058823529411765</v>
      </c>
      <c r="O7" s="6">
        <f>=IF(AND(O$3&gt;=$F7,O$3&lt;$F7+$E7),MIN($H7/$E7,$H7-SUM($I7:N7)),0)</f>
        <v>0.017058823529411765</v>
      </c>
      <c r="P7" s="6">
        <f>=IF(AND(P$3&gt;=$F7,P$3&lt;$F7+$E7),MIN($H7/$E7,$H7-SUM($I7:O7)),0)</f>
        <v>0.017058823529411765</v>
      </c>
      <c r="Q7" s="6">
        <f>=IF(AND(Q$3&gt;=$F7,Q$3&lt;$F7+$E7),MIN($H7/$E7,$H7-SUM($I7:P7)),0)</f>
        <v>0.017058823529411765</v>
      </c>
      <c r="R7" s="6">
        <f>=IF(AND(R$3&gt;=$F7,R$3&lt;$F7+$E7),MIN($H7/$E7,$H7-SUM($I7:Q7)),0)</f>
        <v>0.017058823529411765</v>
      </c>
      <c r="S7" s="6">
        <f>=IF(AND(S$3&gt;=$F7,S$3&lt;$F7+$E7),MIN($H7/$E7,$H7-SUM($I7:R7)),0)</f>
        <v>0.017058823529411765</v>
      </c>
      <c r="T7" s="19">
        <f>=SUM(I7:S7)</f>
        <v>0.17058823529411765</v>
      </c>
      <c r="U7" s="6">
        <f>=$H7-T7</f>
        <v>0.11941176470588233</v>
      </c>
    </row>
    <row r="8">
      <c r="A8" s="2" t="str">
        <v>iv-h5</v>
      </c>
      <c r="B8" s="2" t="str">
        <v>Olla polimerizadora a presión (sustituye la cocción en microondas)</v>
      </c>
      <c r="C8" s="2" t="str">
        <v>USD</v>
      </c>
      <c r="D8" s="6">
        <f>=Inversion!$D$8</f>
        <v>0.402</v>
      </c>
      <c r="E8" s="11">
        <f>=Inversion!$E$8</f>
        <v>17</v>
      </c>
      <c r="F8" s="11">
        <f>=Inversion!$F$8</f>
        <v>1</v>
      </c>
      <c r="G8" s="21">
        <f>=Inversion!$G$8</f>
        <v>0</v>
      </c>
      <c r="H8" s="6">
        <f>=IF(C8="CUP",D8/Parametros!$C$4,D8)*(1-G8)</f>
        <v>0.402</v>
      </c>
      <c r="I8" s="6">
        <f>=IF(AND(I$3&gt;=$F8,I$3&lt;$F8+$E8),MIN($H8/$E8,$H8),0)</f>
        <v>0</v>
      </c>
      <c r="J8" s="6">
        <f>=IF(AND(J$3&gt;=$F8,J$3&lt;$F8+$E8),MIN($H8/$E8,$H8-SUM($I8:I8)),0)</f>
        <v>0.023647058823529413</v>
      </c>
      <c r="K8" s="6">
        <f>=IF(AND(K$3&gt;=$F8,K$3&lt;$F8+$E8),MIN($H8/$E8,$H8-SUM($I8:J8)),0)</f>
        <v>0.023647058823529413</v>
      </c>
      <c r="L8" s="6">
        <f>=IF(AND(L$3&gt;=$F8,L$3&lt;$F8+$E8),MIN($H8/$E8,$H8-SUM($I8:K8)),0)</f>
        <v>0.023647058823529413</v>
      </c>
      <c r="M8" s="6">
        <f>=IF(AND(M$3&gt;=$F8,M$3&lt;$F8+$E8),MIN($H8/$E8,$H8-SUM($I8:L8)),0)</f>
        <v>0.023647058823529413</v>
      </c>
      <c r="N8" s="6">
        <f>=IF(AND(N$3&gt;=$F8,N$3&lt;$F8+$E8),MIN($H8/$E8,$H8-SUM($I8:M8)),0)</f>
        <v>0.023647058823529413</v>
      </c>
      <c r="O8" s="6">
        <f>=IF(AND(O$3&gt;=$F8,O$3&lt;$F8+$E8),MIN($H8/$E8,$H8-SUM($I8:N8)),0)</f>
        <v>0.023647058823529413</v>
      </c>
      <c r="P8" s="6">
        <f>=IF(AND(P$3&gt;=$F8,P$3&lt;$F8+$E8),MIN($H8/$E8,$H8-SUM($I8:O8)),0)</f>
        <v>0.023647058823529413</v>
      </c>
      <c r="Q8" s="6">
        <f>=IF(AND(Q$3&gt;=$F8,Q$3&lt;$F8+$E8),MIN($H8/$E8,$H8-SUM($I8:P8)),0)</f>
        <v>0.023647058823529413</v>
      </c>
      <c r="R8" s="6">
        <f>=IF(AND(R$3&gt;=$F8,R$3&lt;$F8+$E8),MIN($H8/$E8,$H8-SUM($I8:Q8)),0)</f>
        <v>0.023647058823529413</v>
      </c>
      <c r="S8" s="6">
        <f>=IF(AND(S$3&gt;=$F8,S$3&lt;$F8+$E8),MIN($H8/$E8,$H8-SUM($I8:R8)),0)</f>
        <v>0.023647058823529413</v>
      </c>
      <c r="T8" s="19">
        <f>=SUM(I8:S8)</f>
        <v>0.23647058823529413</v>
      </c>
      <c r="U8" s="6">
        <f>=$H8-T8</f>
        <v>0.1655294117647059</v>
      </c>
    </row>
    <row r="9">
      <c r="B9" s="20" t="str">
        <v>TOTAL DEPRECIACIÓN (mtr_depreciacion_k)</v>
      </c>
      <c r="I9" s="19">
        <f>=SUM(I4:I8)</f>
        <v>0</v>
      </c>
      <c r="J9" s="19">
        <f>=SUM(J4:J8)</f>
        <v>0.310235294117647</v>
      </c>
      <c r="K9" s="19">
        <f>=SUM(K4:K8)</f>
        <v>0.310235294117647</v>
      </c>
      <c r="L9" s="19">
        <f>=SUM(L4:L8)</f>
        <v>0.310235294117647</v>
      </c>
      <c r="M9" s="19">
        <f>=SUM(M4:M8)</f>
        <v>0.310235294117647</v>
      </c>
      <c r="N9" s="19">
        <f>=SUM(N4:N8)</f>
        <v>0.310235294117647</v>
      </c>
      <c r="O9" s="19">
        <f>=SUM(O4:O8)</f>
        <v>0.310235294117647</v>
      </c>
      <c r="P9" s="19">
        <f>=SUM(P4:P8)</f>
        <v>0.310235294117647</v>
      </c>
      <c r="Q9" s="19">
        <f>=SUM(Q4:Q8)</f>
        <v>0.310235294117647</v>
      </c>
      <c r="R9" s="19">
        <f>=SUM(R4:R8)</f>
        <v>0.310235294117647</v>
      </c>
      <c r="S9" s="19">
        <f>=SUM(S4:S8)</f>
        <v>0.310235294117647</v>
      </c>
    </row>
    <row r="11">
      <c r="A11" s="8" t="str">
        <v>La acumulada de cada activo se limita a su base depreciable; un activo sin vida útil definida no deprecia (el diagnóstico lo advierte). Los activos nuevos de ampliaciones (escenario B) deprecian desde su año de ejecución.</v>
      </c>
    </row>
    <row r="12">
      <c r="A12" s="22" t="str">
        <v>Hay 5 activo(s) con valor neto en libros al cierre (vidas útiles que exceden el horizonte): el plan debe declarar su tratamiento al final del período.</v>
      </c>
    </row>
  </sheetData>
  <ignoredErrors>
    <ignoredError numberStoredAsText="1" sqref="A1:U12"/>
  </ignoredErrors>
</worksheet>
</file>

<file path=xl/worksheets/sheet6.xml><?xml version="1.0" encoding="utf-8"?>
<worksheet xmlns="http://schemas.openxmlformats.org/spreadsheetml/2006/main" xmlns:r="http://schemas.openxmlformats.org/officeDocument/2006/relationships">
  <dimension ref="A1:K16"/>
  <sheetViews>
    <sheetView workbookViewId="0"/>
  </sheetViews>
  <cols>
    <col min="1" max="1" width="8.83203125" customWidth="1"/>
    <col min="2" max="2" width="12.83203125" customWidth="1"/>
    <col min="3" max="3" width="12.83203125" customWidth="1"/>
    <col min="4" max="4" width="13.83203125" customWidth="1"/>
    <col min="5" max="5" width="13.83203125" customWidth="1"/>
    <col min="6" max="6" width="12.83203125" customWidth="1"/>
    <col min="7" max="7" width="12.83203125" customWidth="1"/>
    <col min="8" max="8" width="12.83203125" customWidth="1"/>
    <col min="9" max="9" width="4.83203125" customWidth="1"/>
    <col min="10" max="10" width="30.83203125" customWidth="1"/>
    <col min="11" max="11" width="14.83203125" customWidth="1"/>
  </cols>
  <sheetData>
    <row r="1">
      <c r="A1" s="3" t="str">
        <v>Calendario financiero de la deuda (misión §6) — miles de USD</v>
      </c>
      <c r="J1" s="3" t="str">
        <v>Configuración del crédito</v>
      </c>
    </row>
    <row r="2">
      <c r="A2" s="8" t="str">
        <v>Invariante por período: saldo final = saldo inicial + desembolso + interés capitalizado − amortización. Gracia de principal: intereses corrientes; gracia total: intereses capitalizados. Métodos: capital constante, francés (PMT) y pago único.</v>
      </c>
      <c r="J2" s="8" t="str">
        <v>Celdas K: editables; las fórmulas del calendario las referencian.</v>
      </c>
    </row>
    <row r="3">
      <c r="A3" s="10" t="str">
        <v>Año</v>
      </c>
      <c r="B3" s="10" t="str">
        <v>Saldo inicial</v>
      </c>
      <c r="C3" s="10" t="str">
        <v>Desembolso</v>
      </c>
      <c r="D3" s="10" t="str">
        <v>Interés devengado</v>
      </c>
      <c r="E3" s="10" t="str">
        <v>Interés capitalizado</v>
      </c>
      <c r="F3" s="10" t="str">
        <v>Amortización</v>
      </c>
      <c r="G3" s="10" t="str">
        <v>Interés pagado</v>
      </c>
      <c r="H3" s="10" t="str">
        <v>Saldo final</v>
      </c>
    </row>
    <row r="4">
      <c r="A4" s="17">
        <v>0</v>
      </c>
      <c r="B4" s="6">
        <f>=0</f>
        <v>0</v>
      </c>
      <c r="C4" s="6">
        <f>=IF($A4=$K$7,$K$4,0)</f>
        <v>0</v>
      </c>
      <c r="D4" s="6">
        <f>=IF($A4&gt;$K$7,($B4+$C4)*$K$5,0)</f>
        <v>0</v>
      </c>
      <c r="E4" s="6">
        <f>=IF(AND($K$8="total",$A4&gt;$K$7,$A4&lt;=$K$7+$K$6),$D4,0)</f>
        <v>0</v>
      </c>
      <c r="F4" s="6">
        <f>=IF(AND($A4&gt;=$K$7+$K$6+1,$A4&lt;=$K$7+$K$6+$K$10),IF($K$9="sistema_frances",MAX(0,MIN($K$12-$D4,$B4+$C4+$E4)),IF($K$9="pago_unico",IF($A4=$K$7+$K$6+$K$10,$B4+$C4+$E4,0),MIN($K$11/$K$10,$B4+$C4+$E4))),0)</f>
        <v>0</v>
      </c>
      <c r="G4" s="6">
        <f>=IF($A4&gt;$K$7,$D4-$E4,0)</f>
        <v>0</v>
      </c>
      <c r="H4" s="6">
        <f>=$B4+$C4+$E4-$F4</f>
        <v>0</v>
      </c>
      <c r="J4" s="2" t="str">
        <v>Monto (kUSD)</v>
      </c>
      <c r="K4" s="6">
        <f>=Parametros!$C$23</f>
        <v>0</v>
      </c>
    </row>
    <row r="5">
      <c r="A5" s="17">
        <v>1</v>
      </c>
      <c r="B5" s="6">
        <f>=$H4</f>
        <v>0</v>
      </c>
      <c r="C5" s="6">
        <f>=IF($A5=$K$7,$K$4,0)</f>
        <v>0</v>
      </c>
      <c r="D5" s="6">
        <f>=IF($A5&gt;$K$7,($B5+$C5)*$K$5,0)</f>
        <v>0</v>
      </c>
      <c r="E5" s="6">
        <f>=IF(AND($K$8="total",$A5&gt;$K$7,$A5&lt;=$K$7+$K$6),$D5,0)</f>
        <v>0</v>
      </c>
      <c r="F5" s="6">
        <f>=IF(AND($A5&gt;=$K$7+$K$6+1,$A5&lt;=$K$7+$K$6+$K$10),IF($K$9="sistema_frances",MAX(0,MIN($K$12-$D5,$B5+$C5+$E5)),IF($K$9="pago_unico",IF($A5=$K$7+$K$6+$K$10,$B5+$C5+$E5,0),MIN($K$11/$K$10,$B5+$C5+$E5))),0)</f>
        <v>0</v>
      </c>
      <c r="G5" s="6">
        <f>=IF($A5&gt;$K$7,$D5-$E5,0)</f>
        <v>0</v>
      </c>
      <c r="H5" s="6">
        <f>=$B5+$C5+$E5-$F5</f>
        <v>0</v>
      </c>
      <c r="J5" s="2" t="str">
        <v>Tasa anual</v>
      </c>
      <c r="K5" s="21">
        <f>=Parametros!$C$5</f>
        <v>0.08</v>
      </c>
    </row>
    <row r="6">
      <c r="A6" s="17">
        <v>2</v>
      </c>
      <c r="B6" s="6">
        <f>=$H5</f>
        <v>0</v>
      </c>
      <c r="C6" s="6">
        <f>=IF($A6=$K$7,$K$4,0)</f>
        <v>0</v>
      </c>
      <c r="D6" s="6">
        <f>=IF($A6&gt;$K$7,($B6+$C6)*$K$5,0)</f>
        <v>0</v>
      </c>
      <c r="E6" s="6">
        <f>=IF(AND($K$8="total",$A6&gt;$K$7,$A6&lt;=$K$7+$K$6),$D6,0)</f>
        <v>0</v>
      </c>
      <c r="F6" s="6">
        <f>=IF(AND($A6&gt;=$K$7+$K$6+1,$A6&lt;=$K$7+$K$6+$K$10),IF($K$9="sistema_frances",MAX(0,MIN($K$12-$D6,$B6+$C6+$E6)),IF($K$9="pago_unico",IF($A6=$K$7+$K$6+$K$10,$B6+$C6+$E6,0),MIN($K$11/$K$10,$B6+$C6+$E6))),0)</f>
        <v>0</v>
      </c>
      <c r="G6" s="6">
        <f>=IF($A6&gt;$K$7,$D6-$E6,0)</f>
        <v>0</v>
      </c>
      <c r="H6" s="6">
        <f>=$B6+$C6+$E6-$F6</f>
        <v>0</v>
      </c>
      <c r="J6" s="2" t="str">
        <v>Gracia (años)</v>
      </c>
      <c r="K6" s="11">
        <f>=Parametros!$C$7</f>
        <v>1</v>
      </c>
    </row>
    <row r="7">
      <c r="A7" s="17">
        <v>3</v>
      </c>
      <c r="B7" s="6">
        <f>=$H6</f>
        <v>0</v>
      </c>
      <c r="C7" s="6">
        <f>=IF($A7=$K$7,$K$4,0)</f>
        <v>0</v>
      </c>
      <c r="D7" s="6">
        <f>=IF($A7&gt;$K$7,($B7+$C7)*$K$5,0)</f>
        <v>0</v>
      </c>
      <c r="E7" s="6">
        <f>=IF(AND($K$8="total",$A7&gt;$K$7,$A7&lt;=$K$7+$K$6),$D7,0)</f>
        <v>0</v>
      </c>
      <c r="F7" s="6">
        <f>=IF(AND($A7&gt;=$K$7+$K$6+1,$A7&lt;=$K$7+$K$6+$K$10),IF($K$9="sistema_frances",MAX(0,MIN($K$12-$D7,$B7+$C7+$E7)),IF($K$9="pago_unico",IF($A7=$K$7+$K$6+$K$10,$B7+$C7+$E7,0),MIN($K$11/$K$10,$B7+$C7+$E7))),0)</f>
        <v>0</v>
      </c>
      <c r="G7" s="6">
        <f>=IF($A7&gt;$K$7,$D7-$E7,0)</f>
        <v>0</v>
      </c>
      <c r="H7" s="6">
        <f>=$B7+$C7+$E7-$F7</f>
        <v>0</v>
      </c>
      <c r="J7" s="2" t="str">
        <v>Año de desembolso</v>
      </c>
      <c r="K7" s="17">
        <v>0</v>
      </c>
    </row>
    <row r="8">
      <c r="A8" s="17">
        <v>4</v>
      </c>
      <c r="B8" s="6">
        <f>=$H7</f>
        <v>0</v>
      </c>
      <c r="C8" s="6">
        <f>=IF($A8=$K$7,$K$4,0)</f>
        <v>0</v>
      </c>
      <c r="D8" s="6">
        <f>=IF($A8&gt;$K$7,($B8+$C8)*$K$5,0)</f>
        <v>0</v>
      </c>
      <c r="E8" s="6">
        <f>=IF(AND($K$8="total",$A8&gt;$K$7,$A8&lt;=$K$7+$K$6),$D8,0)</f>
        <v>0</v>
      </c>
      <c r="F8" s="6">
        <f>=IF(AND($A8&gt;=$K$7+$K$6+1,$A8&lt;=$K$7+$K$6+$K$10),IF($K$9="sistema_frances",MAX(0,MIN($K$12-$D8,$B8+$C8+$E8)),IF($K$9="pago_unico",IF($A8=$K$7+$K$6+$K$10,$B8+$C8+$E8,0),MIN($K$11/$K$10,$B8+$C8+$E8))),0)</f>
        <v>0</v>
      </c>
      <c r="G8" s="6">
        <f>=IF($A8&gt;$K$7,$D8-$E8,0)</f>
        <v>0</v>
      </c>
      <c r="H8" s="6">
        <f>=$B8+$C8+$E8-$F8</f>
        <v>0</v>
      </c>
      <c r="J8" s="2" t="str">
        <v>Tipo de gracia</v>
      </c>
      <c r="K8" s="17" t="str">
        <v>principal</v>
      </c>
    </row>
    <row r="9">
      <c r="A9" s="17">
        <v>5</v>
      </c>
      <c r="B9" s="6">
        <f>=$H8</f>
        <v>0</v>
      </c>
      <c r="C9" s="6">
        <f>=IF($A9=$K$7,$K$4,0)</f>
        <v>0</v>
      </c>
      <c r="D9" s="6">
        <f>=IF($A9&gt;$K$7,($B9+$C9)*$K$5,0)</f>
        <v>0</v>
      </c>
      <c r="E9" s="6">
        <f>=IF(AND($K$8="total",$A9&gt;$K$7,$A9&lt;=$K$7+$K$6),$D9,0)</f>
        <v>0</v>
      </c>
      <c r="F9" s="6">
        <f>=IF(AND($A9&gt;=$K$7+$K$6+1,$A9&lt;=$K$7+$K$6+$K$10),IF($K$9="sistema_frances",MAX(0,MIN($K$12-$D9,$B9+$C9+$E9)),IF($K$9="pago_unico",IF($A9=$K$7+$K$6+$K$10,$B9+$C9+$E9,0),MIN($K$11/$K$10,$B9+$C9+$E9))),0)</f>
        <v>0</v>
      </c>
      <c r="G9" s="6">
        <f>=IF($A9&gt;$K$7,$D9-$E9,0)</f>
        <v>0</v>
      </c>
      <c r="H9" s="6">
        <f>=$B9+$C9+$E9-$F9</f>
        <v>0</v>
      </c>
      <c r="J9" s="2" t="str">
        <v>Método de amortización</v>
      </c>
      <c r="K9" s="17" t="str">
        <v>capital_constante</v>
      </c>
    </row>
    <row r="10">
      <c r="A10" s="17">
        <v>6</v>
      </c>
      <c r="B10" s="6">
        <f>=$H9</f>
        <v>0</v>
      </c>
      <c r="C10" s="6">
        <f>=IF($A10=$K$7,$K$4,0)</f>
        <v>0</v>
      </c>
      <c r="D10" s="6">
        <f>=IF($A10&gt;$K$7,($B10+$C10)*$K$5,0)</f>
        <v>0</v>
      </c>
      <c r="E10" s="6">
        <f>=IF(AND($K$8="total",$A10&gt;$K$7,$A10&lt;=$K$7+$K$6),$D10,0)</f>
        <v>0</v>
      </c>
      <c r="F10" s="6">
        <f>=IF(AND($A10&gt;=$K$7+$K$6+1,$A10&lt;=$K$7+$K$6+$K$10),IF($K$9="sistema_frances",MAX(0,MIN($K$12-$D10,$B10+$C10+$E10)),IF($K$9="pago_unico",IF($A10=$K$7+$K$6+$K$10,$B10+$C10+$E10,0),MIN($K$11/$K$10,$B10+$C10+$E10))),0)</f>
        <v>0</v>
      </c>
      <c r="G10" s="6">
        <f>=IF($A10&gt;$K$7,$D10-$E10,0)</f>
        <v>0</v>
      </c>
      <c r="H10" s="6">
        <f>=$B10+$C10+$E10-$F10</f>
        <v>0</v>
      </c>
      <c r="J10" s="2" t="str">
        <v>Plazo (anualidades)</v>
      </c>
      <c r="K10" s="11">
        <f>=Parametros!$C$6</f>
        <v>5</v>
      </c>
    </row>
    <row r="11">
      <c r="A11" s="17">
        <v>7</v>
      </c>
      <c r="B11" s="6">
        <f>=$H10</f>
        <v>0</v>
      </c>
      <c r="C11" s="6">
        <f>=IF($A11=$K$7,$K$4,0)</f>
        <v>0</v>
      </c>
      <c r="D11" s="6">
        <f>=IF($A11&gt;$K$7,($B11+$C11)*$K$5,0)</f>
        <v>0</v>
      </c>
      <c r="E11" s="6">
        <f>=IF(AND($K$8="total",$A11&gt;$K$7,$A11&lt;=$K$7+$K$6),$D11,0)</f>
        <v>0</v>
      </c>
      <c r="F11" s="6">
        <f>=IF(AND($A11&gt;=$K$7+$K$6+1,$A11&lt;=$K$7+$K$6+$K$10),IF($K$9="sistema_frances",MAX(0,MIN($K$12-$D11,$B11+$C11+$E11)),IF($K$9="pago_unico",IF($A11=$K$7+$K$6+$K$10,$B11+$C11+$E11,0),MIN($K$11/$K$10,$B11+$C11+$E11))),0)</f>
        <v>0</v>
      </c>
      <c r="G11" s="6">
        <f>=IF($A11&gt;$K$7,$D11-$E11,0)</f>
        <v>0</v>
      </c>
      <c r="H11" s="6">
        <f>=$B11+$C11+$E11-$F11</f>
        <v>0</v>
      </c>
      <c r="J11" s="2" t="str">
        <v>Saldo al inicio de la ventana</v>
      </c>
      <c r="K11" s="6">
        <f>=IF($K$8="total",$K$4*(1+$K$5)^$K$6,$K$4)</f>
        <v>0</v>
      </c>
    </row>
    <row r="12">
      <c r="A12" s="17">
        <v>8</v>
      </c>
      <c r="B12" s="6">
        <f>=$H11</f>
        <v>0</v>
      </c>
      <c r="C12" s="6">
        <f>=IF($A12=$K$7,$K$4,0)</f>
        <v>0</v>
      </c>
      <c r="D12" s="6">
        <f>=IF($A12&gt;$K$7,($B12+$C12)*$K$5,0)</f>
        <v>0</v>
      </c>
      <c r="E12" s="6">
        <f>=IF(AND($K$8="total",$A12&gt;$K$7,$A12&lt;=$K$7+$K$6),$D12,0)</f>
        <v>0</v>
      </c>
      <c r="F12" s="6">
        <f>=IF(AND($A12&gt;=$K$7+$K$6+1,$A12&lt;=$K$7+$K$6+$K$10),IF($K$9="sistema_frances",MAX(0,MIN($K$12-$D12,$B12+$C12+$E12)),IF($K$9="pago_unico",IF($A12=$K$7+$K$6+$K$10,$B12+$C12+$E12,0),MIN($K$11/$K$10,$B12+$C12+$E12))),0)</f>
        <v>0</v>
      </c>
      <c r="G12" s="6">
        <f>=IF($A12&gt;$K$7,$D12-$E12,0)</f>
        <v>0</v>
      </c>
      <c r="H12" s="6">
        <f>=$B12+$C12+$E12-$F12</f>
        <v>0</v>
      </c>
      <c r="J12" s="2" t="str">
        <v>Cuota del sistema francés</v>
      </c>
      <c r="K12" s="6">
        <f>=IF($K$5&gt;0,$K$11*$K$5/(1-(1+$K$5)^-$K$10),$K$11/$K$10)</f>
        <v>0</v>
      </c>
    </row>
    <row r="13">
      <c r="A13" s="17">
        <v>9</v>
      </c>
      <c r="B13" s="6">
        <f>=$H12</f>
        <v>0</v>
      </c>
      <c r="C13" s="6">
        <f>=IF($A13=$K$7,$K$4,0)</f>
        <v>0</v>
      </c>
      <c r="D13" s="6">
        <f>=IF($A13&gt;$K$7,($B13+$C13)*$K$5,0)</f>
        <v>0</v>
      </c>
      <c r="E13" s="6">
        <f>=IF(AND($K$8="total",$A13&gt;$K$7,$A13&lt;=$K$7+$K$6),$D13,0)</f>
        <v>0</v>
      </c>
      <c r="F13" s="6">
        <f>=IF(AND($A13&gt;=$K$7+$K$6+1,$A13&lt;=$K$7+$K$6+$K$10),IF($K$9="sistema_frances",MAX(0,MIN($K$12-$D13,$B13+$C13+$E13)),IF($K$9="pago_unico",IF($A13=$K$7+$K$6+$K$10,$B13+$C13+$E13,0),MIN($K$11/$K$10,$B13+$C13+$E13))),0)</f>
        <v>0</v>
      </c>
      <c r="G13" s="6">
        <f>=IF($A13&gt;$K$7,$D13-$E13,0)</f>
        <v>0</v>
      </c>
      <c r="H13" s="6">
        <f>=$B13+$C13+$E13-$F13</f>
        <v>0</v>
      </c>
    </row>
    <row r="14">
      <c r="A14" s="17">
        <v>10</v>
      </c>
      <c r="B14" s="6">
        <f>=$H13</f>
        <v>0</v>
      </c>
      <c r="C14" s="6">
        <f>=IF($A14=$K$7,$K$4,0)</f>
        <v>0</v>
      </c>
      <c r="D14" s="6">
        <f>=IF($A14&gt;$K$7,($B14+$C14)*$K$5,0)</f>
        <v>0</v>
      </c>
      <c r="E14" s="6">
        <f>=IF(AND($K$8="total",$A14&gt;$K$7,$A14&lt;=$K$7+$K$6),$D14,0)</f>
        <v>0</v>
      </c>
      <c r="F14" s="6">
        <f>=IF(AND($A14&gt;=$K$7+$K$6+1,$A14&lt;=$K$7+$K$6+$K$10),IF($K$9="sistema_frances",MAX(0,MIN($K$12-$D14,$B14+$C14+$E14)),IF($K$9="pago_unico",IF($A14=$K$7+$K$6+$K$10,$B14+$C14+$E14,0),MIN($K$11/$K$10,$B14+$C14+$E14))),0)</f>
        <v>0</v>
      </c>
      <c r="G14" s="6">
        <f>=IF($A14&gt;$K$7,$D14-$E14,0)</f>
        <v>0</v>
      </c>
      <c r="H14" s="6">
        <f>=$B14+$C14+$E14-$F14</f>
        <v>0</v>
      </c>
    </row>
    <row r="16">
      <c r="A16" s="8" t="str">
        <v>Fuente de la configuración: Sin financiamiento externo: la tabla de financiamientos del expediente declara necesidad 0,00 y ningún crédito (H-030, F08 p. 7).</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G7"/>
  <sheetViews>
    <sheetView workbookViewId="0"/>
  </sheetViews>
  <cols>
    <col min="1" max="1" width="14.83203125" customWidth="1"/>
    <col min="2" max="2" width="26.83203125" customWidth="1"/>
    <col min="3" max="3" width="12.83203125" customWidth="1"/>
    <col min="4" max="4" width="12.83203125" customWidth="1"/>
    <col min="5" max="5" width="12.83203125" customWidth="1"/>
    <col min="6" max="6" width="12.83203125" customWidth="1"/>
    <col min="7" max="7" width="60.83203125" customWidth="1"/>
  </cols>
  <sheetData>
    <row r="1">
      <c r="A1" s="3" t="str">
        <v>Aportaciones de los socios (4.5) — miles de USD con un decimal</v>
      </c>
    </row>
    <row r="3">
      <c r="A3" s="10" t="str">
        <v>Socio</v>
      </c>
      <c r="B3" s="10" t="str">
        <v>Tipo de aporte</v>
      </c>
      <c r="C3" s="10" t="str">
        <v>Año 1</v>
      </c>
      <c r="D3" s="10" t="str">
        <v>Año 2</v>
      </c>
      <c r="E3" s="10" t="str">
        <v>Año 3</v>
      </c>
      <c r="F3" s="10" t="str">
        <v>Total</v>
      </c>
      <c r="G3" s="10" t="str">
        <v>Referencia documental</v>
      </c>
    </row>
    <row r="4">
      <c r="A4" s="17" t="str">
        <v>Nacional</v>
      </c>
      <c r="B4" s="17" t="str">
        <v>efectivo</v>
      </c>
      <c r="C4" s="14">
        <v>13.333333333333334</v>
      </c>
      <c r="D4" s="14">
        <v>0</v>
      </c>
      <c r="E4" s="14">
        <v>0</v>
      </c>
      <c r="F4" s="6">
        <f>=SUM(C4:E4)</f>
        <v>13.333333333333334</v>
      </c>
      <c r="G4" s="2" t="str">
        <v>Efectivo de CSMC: 1 600,0 miles de CUP (H-026; F02/F08 p. 1) = 13,33 kUSD a la tasa 120 del modelo (H-025). Destino documentado: salarios de preapertura y arrendamiento en preapertura y primeros 6 meses (F02). [El expediente lo expresa como 66,7 «USD» usando su tasa 24: véase C-01.]</v>
      </c>
    </row>
    <row r="5">
      <c r="A5" s="14" t="str">
        <v>Extranjero</v>
      </c>
      <c r="B5" s="14" t="str">
        <v>activos_circulantes</v>
      </c>
      <c r="C5" s="14">
        <v>63.581300000000006</v>
      </c>
      <c r="D5" s="14">
        <v>0</v>
      </c>
      <c r="E5" s="14">
        <v>0</v>
      </c>
      <c r="F5" s="6">
        <f>=SUM(C5:E5)</f>
        <v>63.581300000000006</v>
      </c>
      <c r="G5" s="2" t="str">
        <v>Insumos y material gastable (stock de 6 meses): cotización F03, total 63 581,30 USD (H-027/H-029) = 1 526,0 miles de CUP a la tasa 24 que declara el expediente (conciliado).</v>
      </c>
    </row>
    <row r="6">
      <c r="A6" s="14" t="str">
        <v>Extranjero</v>
      </c>
      <c r="B6" s="14" t="str">
        <v>activos_fijos_tangibles</v>
      </c>
      <c r="C6" s="14">
        <v>5.274</v>
      </c>
      <c r="D6" s="14">
        <v>0</v>
      </c>
      <c r="E6" s="14">
        <v>0</v>
      </c>
      <c r="F6" s="6">
        <f>=SUM(C6:E6)</f>
        <v>5.274</v>
      </c>
      <c r="G6" s="2" t="str">
        <v>Cinco equipos de tecnología estomatológica: cotización F06, total 5 274,00 USD (H-021) = 126,6 miles de CUP a la tasa 24 del expediente. [El escáner intraoral 3D cotizado en F02 (12 035,00 USD) NO está incluido: decisión pendiente, contradicción C-08 / brecha B-07.]</v>
      </c>
    </row>
    <row r="7">
      <c r="A7" s="20" t="str">
        <v>TOTAL</v>
      </c>
      <c r="C7" s="19">
        <f>=SUM(C4:C6)</f>
        <v>82.18863333333334</v>
      </c>
      <c r="D7" s="19">
        <f>=SUM(D4:D6)</f>
        <v>0</v>
      </c>
      <c r="E7" s="19">
        <f>=SUM(E4:E6)</f>
        <v>0</v>
      </c>
      <c r="F7" s="19">
        <f>=SUM(F4:F6)</f>
        <v>82.18863333333334</v>
      </c>
    </row>
  </sheetData>
  <ignoredErrors>
    <ignoredError numberStoredAsText="1" sqref="A1:G7"/>
  </ignoredErrors>
</worksheet>
</file>

<file path=xl/worksheets/sheet8.xml><?xml version="1.0" encoding="utf-8"?>
<worksheet xmlns="http://schemas.openxmlformats.org/spreadsheetml/2006/main" xmlns:r="http://schemas.openxmlformats.org/officeDocument/2006/relationships">
  <dimension ref="A1:H36"/>
  <sheetViews>
    <sheetView workbookViewId="0"/>
  </sheetViews>
  <cols>
    <col min="1" max="1" width="48.83203125" customWidth="1"/>
    <col min="2" max="2" width="10.83203125" customWidth="1"/>
    <col min="3" max="3" width="4.83203125" customWidth="1"/>
    <col min="4" max="4" width="14.83203125" customWidth="1"/>
  </cols>
  <sheetData>
    <row r="1">
      <c r="A1" s="3" t="str">
        <v>Fuentes de financiamiento y partidas de proyecto (4.7)</v>
      </c>
    </row>
    <row r="3">
      <c r="A3" s="2" t="str">
        <v>Gastos previos (USD)</v>
      </c>
      <c r="B3" s="2" t="str">
        <v>kUSD</v>
      </c>
      <c r="D3" s="6">
        <f>=(SUMIFS(Inversion!$D$4:$D$10,Inversion!$B$4:$B$10,"gastos_previos",Inversion!$C$4:$C$10,"USD")+(SUMIFS(Inversion!$D$4:$D$10,Inversion!$B$4:$B$10,"gastos_previos",Inversion!$C$4:$C$10,"CUP")/Parametros!$C$4))</f>
        <v>0.21833333333333332</v>
      </c>
    </row>
    <row r="4">
      <c r="A4" s="2" t="str">
        <v>Inversión fija en USD</v>
      </c>
      <c r="B4" s="2" t="str">
        <v>kUSD</v>
      </c>
      <c r="D4" s="6">
        <f>=SUMIFS(Inversion!$D$4:$D$10,Inversion!$B$4:$B$10,"inversion_fija",Inversion!$C$4:$C$10,"USD")</f>
        <v>5.274</v>
      </c>
    </row>
    <row r="5">
      <c r="A5" s="2" t="str">
        <v>Inversión fija en CUP (convertida)</v>
      </c>
      <c r="B5" s="2" t="str">
        <v>kUSD</v>
      </c>
      <c r="D5" s="6">
        <f>=(SUMIFS(Inversion!$D$4:$D$10,Inversion!$B$4:$B$10,"inversion_fija",Inversion!$C$4:$C$10,"CUP")/Parametros!$C$4)</f>
        <v>0</v>
      </c>
    </row>
    <row r="6">
      <c r="A6" s="2" t="str">
        <v>Inversión fija total</v>
      </c>
      <c r="B6" s="2" t="str">
        <v>kUSD</v>
      </c>
      <c r="D6" s="6">
        <f>=(Parametros!$C$2+Parametros!$C$2)</f>
        <v>5.274</v>
      </c>
    </row>
    <row r="7">
      <c r="A7" s="2" t="str">
        <v>Capital de trabajo</v>
      </c>
      <c r="B7" s="2" t="str">
        <v>kUSD</v>
      </c>
      <c r="D7" s="6">
        <f>=Parametros!$C$25</f>
        <v>0</v>
      </c>
    </row>
    <row r="8">
      <c r="A8" s="20" t="str">
        <v>COSTO TOTAL DE LA INVERSIÓN INICIAL</v>
      </c>
      <c r="B8" s="2" t="str">
        <v>kUSD</v>
      </c>
      <c r="D8" s="19">
        <f>=((Parametros!$C$2+Parametros!$C$2)+Parametros!$C$25)</f>
        <v>5.492333333333334</v>
      </c>
    </row>
    <row r="10">
      <c r="A10" s="2" t="str">
        <v>Total de aportaciones de los socios</v>
      </c>
      <c r="B10" s="2" t="str">
        <v>kUSD</v>
      </c>
      <c r="D10" s="6">
        <f>=SUM(Aportaciones!$F$4:$F$6)</f>
        <v>82.18863333333334</v>
      </c>
    </row>
    <row r="11">
      <c r="A11" s="2" t="str">
        <v>Otras fuentes disponibles</v>
      </c>
      <c r="B11" s="2" t="str">
        <v>kUSD</v>
      </c>
      <c r="D11" s="6">
        <f>=Parametros!$C$24</f>
        <v>0</v>
      </c>
    </row>
    <row r="12">
      <c r="A12" s="2" t="str">
        <v>Crédito externo</v>
      </c>
      <c r="B12" s="2" t="str">
        <v>kUSD</v>
      </c>
      <c r="D12" s="6">
        <f>=Parametros!$C$23</f>
        <v>0</v>
      </c>
    </row>
    <row r="13">
      <c r="A13" s="20" t="str">
        <v>FINANCIACIÓN DISPONIBLE</v>
      </c>
      <c r="B13" s="2" t="str">
        <v>kUSD</v>
      </c>
      <c r="D13" s="19">
        <f>=((Parametros!$C$2+Parametros!$C$24)+Parametros!$C$23)</f>
        <v>82.18863333333334</v>
      </c>
    </row>
    <row r="14">
      <c r="A14" s="2" t="str">
        <v>Necesidad de financiación</v>
      </c>
      <c r="B14" s="2" t="str">
        <v>kUSD</v>
      </c>
      <c r="D14" s="6">
        <f>=((Parametros!$C$2-Parametros!$C$2)-Parametros!$C$24)</f>
        <v>-76.69630000000001</v>
      </c>
    </row>
    <row r="15">
      <c r="A15" s="20" t="str">
        <v>Diferencia de financiación</v>
      </c>
      <c r="B15" s="2" t="str">
        <v>kUSD</v>
      </c>
      <c r="D15" s="19">
        <f>=(Parametros!$C$2-Parametros!$C$2)</f>
        <v>76.69630000000001</v>
      </c>
    </row>
    <row r="17">
      <c r="A17" s="8" t="str">
        <v>Control de suficiencia:</v>
      </c>
      <c r="B17" s="23" t="str">
        <f>=IF(D15&lt;-0.05,"INSUFICIENTE",IF(D15&gt;0.05,"EXCESO","OK"))</f>
        <v>OK</v>
      </c>
    </row>
    <row r="18">
      <c r="A18" s="8" t="str">
        <v>Tasa, plazo, gracia, tipo de gracia y método de amortización: hoja Deuda (configuración editable) y hoja Parametros.</v>
      </c>
    </row>
    <row r="20">
      <c r="A20" s="3" t="str">
        <v>Cobertura temporal de la financiación y tesorería proyectada (por período)</v>
      </c>
    </row>
    <row r="21">
      <c r="A21" s="8" t="str">
        <v>Fuentes comprometidas para todo el proyecto: 82,2 kUSD. Disponibles con desembolso en el año 0: 82,2 kUSD. Brecha temporal del año 0: 76,7 kUSD (nominal: 76,7). Las «otras fuentes» no declaran fecha: se suponen del año 0.</v>
      </c>
    </row>
    <row r="22">
      <c r="A22" s="10" t="str">
        <v>Período</v>
      </c>
      <c r="B22" s="10" t="str">
        <v>Aportaciones del año</v>
      </c>
      <c r="C22" s="10" t="str">
        <v>Otras fuentes</v>
      </c>
      <c r="D22" s="10" t="str">
        <v>Crédito (desembolso)</v>
      </c>
      <c r="E22" s="10" t="str">
        <v>Fuentes del período</v>
      </c>
      <c r="F22" s="10" t="str">
        <v>Necesidades del período</v>
      </c>
      <c r="G22" s="10" t="str">
        <v>Cobertura acumulada</v>
      </c>
      <c r="H22" s="10" t="str">
        <v>Caja proyectada</v>
      </c>
    </row>
    <row r="23">
      <c r="A23" s="2" t="str">
        <v>Año 0 (montaje)</v>
      </c>
      <c r="B23" s="24">
        <v>82.18863333333334</v>
      </c>
      <c r="C23" s="24">
        <v>0</v>
      </c>
      <c r="D23" s="24">
        <v>0</v>
      </c>
      <c r="E23" s="6">
        <f>=SUM(B23:D23)</f>
        <v>82.18863333333334</v>
      </c>
      <c r="F23" s="24">
        <v>5.492333333333334</v>
      </c>
      <c r="G23" s="24">
        <v>76.69630000000001</v>
      </c>
      <c r="H23" s="24">
        <v>76.69630000000001</v>
      </c>
    </row>
    <row r="24">
      <c r="A24" s="2" t="str">
        <v>Año 1</v>
      </c>
      <c r="B24" s="24">
        <v>0</v>
      </c>
      <c r="C24" s="24">
        <v>0</v>
      </c>
      <c r="D24" s="24">
        <v>0</v>
      </c>
      <c r="E24" s="6">
        <f>=SUM(B24:D24)</f>
        <v>0</v>
      </c>
      <c r="F24" s="24">
        <v>0</v>
      </c>
      <c r="G24" s="24">
        <v>76.69630000000001</v>
      </c>
      <c r="H24" s="24">
        <v>29.34702</v>
      </c>
    </row>
    <row r="25">
      <c r="A25" s="2" t="str">
        <v>Año 2</v>
      </c>
      <c r="B25" s="24">
        <v>0</v>
      </c>
      <c r="C25" s="24">
        <v>0</v>
      </c>
      <c r="D25" s="24">
        <v>0</v>
      </c>
      <c r="E25" s="6">
        <f>=SUM(B25:D25)</f>
        <v>0</v>
      </c>
      <c r="F25" s="24">
        <v>0</v>
      </c>
      <c r="G25" s="24">
        <v>76.69630000000001</v>
      </c>
      <c r="H25" s="24">
        <v>-18.002260000000007</v>
      </c>
    </row>
    <row r="26">
      <c r="A26" s="2" t="str">
        <v>Año 3</v>
      </c>
      <c r="B26" s="24">
        <v>0</v>
      </c>
      <c r="C26" s="24">
        <v>0</v>
      </c>
      <c r="D26" s="24">
        <v>0</v>
      </c>
      <c r="E26" s="6">
        <f>=SUM(B26:D26)</f>
        <v>0</v>
      </c>
      <c r="F26" s="24">
        <v>0</v>
      </c>
      <c r="G26" s="24">
        <v>76.69630000000001</v>
      </c>
      <c r="H26" s="24">
        <v>-65.35154000000001</v>
      </c>
    </row>
    <row r="27">
      <c r="A27" s="2" t="str">
        <v>Año 4</v>
      </c>
      <c r="B27" s="24">
        <v>0</v>
      </c>
      <c r="C27" s="24">
        <v>0</v>
      </c>
      <c r="D27" s="24">
        <v>0</v>
      </c>
      <c r="E27" s="6">
        <f>=SUM(B27:D27)</f>
        <v>0</v>
      </c>
      <c r="F27" s="24">
        <v>0</v>
      </c>
      <c r="G27" s="24">
        <v>76.69630000000001</v>
      </c>
      <c r="H27" s="24">
        <v>-112.70082000000002</v>
      </c>
    </row>
    <row r="28">
      <c r="A28" s="2" t="str">
        <v>Año 5</v>
      </c>
      <c r="B28" s="24">
        <v>0</v>
      </c>
      <c r="C28" s="24">
        <v>0</v>
      </c>
      <c r="D28" s="24">
        <v>0</v>
      </c>
      <c r="E28" s="6">
        <f>=SUM(B28:D28)</f>
        <v>0</v>
      </c>
      <c r="F28" s="24">
        <v>0</v>
      </c>
      <c r="G28" s="24">
        <v>76.69630000000001</v>
      </c>
      <c r="H28" s="24">
        <v>-160.05010000000004</v>
      </c>
    </row>
    <row r="29">
      <c r="A29" s="2" t="str">
        <v>Año 6</v>
      </c>
      <c r="B29" s="24">
        <v>0</v>
      </c>
      <c r="C29" s="24">
        <v>0</v>
      </c>
      <c r="D29" s="24">
        <v>0</v>
      </c>
      <c r="E29" s="6">
        <f>=SUM(B29:D29)</f>
        <v>0</v>
      </c>
      <c r="F29" s="24">
        <v>0</v>
      </c>
      <c r="G29" s="24">
        <v>76.69630000000001</v>
      </c>
      <c r="H29" s="24">
        <v>-207.39938000000006</v>
      </c>
    </row>
    <row r="30">
      <c r="A30" s="2" t="str">
        <v>Año 7</v>
      </c>
      <c r="B30" s="24">
        <v>0</v>
      </c>
      <c r="C30" s="24">
        <v>0</v>
      </c>
      <c r="D30" s="24">
        <v>0</v>
      </c>
      <c r="E30" s="6">
        <f>=SUM(B30:D30)</f>
        <v>0</v>
      </c>
      <c r="F30" s="24">
        <v>0</v>
      </c>
      <c r="G30" s="24">
        <v>76.69630000000001</v>
      </c>
      <c r="H30" s="24">
        <v>-254.7486600000001</v>
      </c>
    </row>
    <row r="31">
      <c r="A31" s="2" t="str">
        <v>Año 8</v>
      </c>
      <c r="B31" s="24">
        <v>0</v>
      </c>
      <c r="C31" s="24">
        <v>0</v>
      </c>
      <c r="D31" s="24">
        <v>0</v>
      </c>
      <c r="E31" s="6">
        <f>=SUM(B31:D31)</f>
        <v>0</v>
      </c>
      <c r="F31" s="24">
        <v>0</v>
      </c>
      <c r="G31" s="24">
        <v>76.69630000000001</v>
      </c>
      <c r="H31" s="24">
        <v>-302.0979400000001</v>
      </c>
    </row>
    <row r="32">
      <c r="A32" s="2" t="str">
        <v>Año 9</v>
      </c>
      <c r="B32" s="24">
        <v>0</v>
      </c>
      <c r="C32" s="24">
        <v>0</v>
      </c>
      <c r="D32" s="24">
        <v>0</v>
      </c>
      <c r="E32" s="6">
        <f>=SUM(B32:D32)</f>
        <v>0</v>
      </c>
      <c r="F32" s="24">
        <v>0</v>
      </c>
      <c r="G32" s="24">
        <v>76.69630000000001</v>
      </c>
      <c r="H32" s="24">
        <v>-349.44722000000013</v>
      </c>
    </row>
    <row r="33">
      <c r="A33" s="2" t="str">
        <v>Año 10</v>
      </c>
      <c r="B33" s="24">
        <v>0</v>
      </c>
      <c r="C33" s="24">
        <v>0</v>
      </c>
      <c r="D33" s="24">
        <v>0</v>
      </c>
      <c r="E33" s="6">
        <f>=SUM(B33:D33)</f>
        <v>0</v>
      </c>
      <c r="F33" s="24">
        <v>0</v>
      </c>
      <c r="G33" s="24">
        <v>76.69630000000001</v>
      </c>
      <c r="H33" s="24">
        <v>-396.79650000000015</v>
      </c>
    </row>
    <row r="35">
      <c r="A35" s="8" t="str">
        <v>Control temporal:</v>
      </c>
      <c r="B35" s="23" t="str">
        <f>=IF(MIN(H23:H33)&lt;-0.05,"DÉFICIT TEMPORAL","OK")</f>
        <v>OK</v>
      </c>
    </row>
    <row r="36">
      <c r="A36" s="8" t="str">
        <v>Necesidades: año 0 = inversión total + salidas de caja no capitalizables del arranque (inventario: nómina de montaje + interés pagado + impuesto devengado − ingresos explícitos); años posteriores = CAPEX de ampliaciones. El impuesto se toma como devengado pagado en el mismo período (supuesto del modelo simplificado).</v>
      </c>
    </row>
  </sheetData>
  <ignoredErrors>
    <ignoredError numberStoredAsText="1" sqref="A1:H36"/>
  </ignoredErrors>
</worksheet>
</file>

<file path=xl/worksheets/sheet9.xml><?xml version="1.0" encoding="utf-8"?>
<worksheet xmlns="http://schemas.openxmlformats.org/spreadsheetml/2006/main" xmlns:r="http://schemas.openxmlformats.org/officeDocument/2006/relationships">
  <dimension ref="A1:R155"/>
  <sheetViews>
    <sheetView workbookViewId="0"/>
  </sheetViews>
  <cols>
    <col min="1" max="1" width="6.83203125" customWidth="1"/>
    <col min="2" max="2" width="38.83203125" customWidth="1"/>
    <col min="3" max="3" width="10.83203125" customWidth="1"/>
    <col min="4" max="4" width="12.83203125" customWidth="1"/>
    <col min="5" max="5" width="12.83203125" customWidth="1"/>
    <col min="6" max="6" width="9.83203125" customWidth="1"/>
    <col min="7" max="7" width="10.83203125" customWidth="1"/>
    <col min="8" max="8" width="11.83203125" customWidth="1"/>
    <col min="9" max="9" width="12.83203125" customWidth="1"/>
    <col min="10" max="10" width="11.83203125" customWidth="1"/>
    <col min="11" max="11" width="11.83203125" customWidth="1"/>
    <col min="12" max="12" width="13.83203125" customWidth="1"/>
    <col min="13" max="13" width="13.83203125" customWidth="1"/>
    <col min="14" max="14" width="12.83203125" customWidth="1"/>
    <col min="15" max="15" width="9.83203125" customWidth="1"/>
    <col min="16" max="16" width="9.83203125" customWidth="1"/>
    <col min="17" max="17" width="9.83203125" customWidth="1"/>
    <col min="18" max="18" width="10.83203125" customWidth="1"/>
  </cols>
  <sheetData>
    <row r="1">
      <c r="A1" s="3" t="str">
        <v>Servicios (4.6) — proyección por servicio y año (formato largo)</v>
      </c>
    </row>
    <row r="2">
      <c r="A2" s="8" t="str">
        <v>Escenario de capacidad activo: A (capacidad constante). La cantidad REAL limita la producción; la demanda prevista queda documentada aparte.</v>
      </c>
    </row>
    <row r="3">
      <c r="A3" s="10" t="str">
        <v>Año</v>
      </c>
      <c r="B3" s="10" t="str">
        <v>Servicio</v>
      </c>
      <c r="C3" s="10" t="str">
        <v>Precio base</v>
      </c>
      <c r="D3" s="10" t="str">
        <v>Demanda base mensual</v>
      </c>
      <c r="E3" s="10" t="str">
        <v>Tope directo (0 = recursos)</v>
      </c>
      <c r="F3" s="10" t="str">
        <v>CVU base</v>
      </c>
      <c r="G3" s="10" t="str">
        <v>Precio proy.</v>
      </c>
      <c r="H3" s="10" t="str">
        <v>Demanda proy.</v>
      </c>
      <c r="I3" s="10" t="str">
        <v>Cantidad real mensual</v>
      </c>
      <c r="J3" s="10" t="str">
        <v>Cantidad anual</v>
      </c>
      <c r="K3" s="10" t="str">
        <v>Costo unit. proy.</v>
      </c>
      <c r="L3" s="10" t="str">
        <v>Ingreso anual (USD)</v>
      </c>
      <c r="M3" s="10" t="str">
        <v>Costo var. total (USD)</v>
      </c>
      <c r="N3" s="10" t="str">
        <v>Margen (USD)</v>
      </c>
      <c r="O3" s="10" t="str">
        <v>Duración (min)</v>
      </c>
      <c r="P3" s="10" t="str">
        <v>Utilización</v>
      </c>
      <c r="Q3" s="10" t="str">
        <v>Arranque demanda (año)</v>
      </c>
      <c r="R3" s="10" t="str">
        <v>Control</v>
      </c>
    </row>
    <row r="4">
      <c r="A4" s="17">
        <v>1</v>
      </c>
      <c r="B4" s="17" t="str">
        <v>Tratamientos pulporadiculares (TPR)</v>
      </c>
      <c r="C4" s="14">
        <v>80</v>
      </c>
      <c r="D4" s="25">
        <v>3</v>
      </c>
      <c r="E4" s="25">
        <v>0</v>
      </c>
      <c r="F4" s="14">
        <v>87.84</v>
      </c>
      <c r="G4" s="6">
        <f>=(C4*((1+Parametros!$C$10)^MAX(0,($A4-1))))</f>
        <v>80</v>
      </c>
      <c r="H4" s="6">
        <f>=IF(($A4&gt;=Q4),(D4*((1+Parametros!$C$11)^MAX(0,($A4-Q4)))),0)</f>
        <v>3</v>
      </c>
      <c r="I4" s="6">
        <f>=Capacidad!$E$4</f>
        <v>3</v>
      </c>
      <c r="J4" s="6">
        <f>=(I4*12)</f>
        <v>36</v>
      </c>
      <c r="K4" s="6">
        <f>=(F4*((1+Parametros!$C$8)^MAX(0,($A4-1))))</f>
        <v>87.84</v>
      </c>
      <c r="L4" s="6">
        <f>=(G4*J4)</f>
        <v>2880</v>
      </c>
      <c r="M4" s="6">
        <f>=(K4*J4)</f>
        <v>3162.2400000000002</v>
      </c>
      <c r="N4" s="6">
        <f>=(L4-M4)</f>
        <v>-282.24000000000024</v>
      </c>
      <c r="O4" s="17">
        <v>0</v>
      </c>
      <c r="P4" s="21">
        <f>=Capacidad!$F$4</f>
        <v>0</v>
      </c>
      <c r="Q4" s="17">
        <v>1</v>
      </c>
      <c r="R4" s="23" t="str">
        <f>=IF(I4&lt;H4-0.000001,"LIMITADA","")</f>
        <v/>
      </c>
    </row>
    <row r="5">
      <c r="A5" s="17">
        <v>1</v>
      </c>
      <c r="B5" s="17" t="str">
        <v>Obturaciones de resina</v>
      </c>
      <c r="C5" s="14">
        <v>20</v>
      </c>
      <c r="D5" s="25">
        <v>15</v>
      </c>
      <c r="E5" s="25">
        <v>0</v>
      </c>
      <c r="F5" s="14">
        <v>21.96</v>
      </c>
      <c r="G5" s="6">
        <f>=(C5*((1+Parametros!$C$10)^MAX(0,($A5-1))))</f>
        <v>20</v>
      </c>
      <c r="H5" s="6">
        <f>=IF(($A5&gt;=Q5),(D5*((1+Parametros!$C$11)^MAX(0,($A5-Q5)))),0)</f>
        <v>15</v>
      </c>
      <c r="I5" s="6">
        <f>=Capacidad!$E$5</f>
        <v>15</v>
      </c>
      <c r="J5" s="6">
        <f>=(I5*12)</f>
        <v>180</v>
      </c>
      <c r="K5" s="6">
        <f>=(F5*((1+Parametros!$C$8)^MAX(0,($A5-1))))</f>
        <v>21.96</v>
      </c>
      <c r="L5" s="6">
        <f>=(G5*J5)</f>
        <v>3600</v>
      </c>
      <c r="M5" s="6">
        <f>=(K5*J5)</f>
        <v>3952.8</v>
      </c>
      <c r="N5" s="6">
        <f>=(L5-M5)</f>
        <v>-352.8000000000002</v>
      </c>
      <c r="O5" s="17">
        <v>0</v>
      </c>
      <c r="P5" s="21">
        <f>=Capacidad!$F$5</f>
        <v>0</v>
      </c>
      <c r="Q5" s="17">
        <v>1</v>
      </c>
      <c r="R5" s="23" t="str">
        <f>=IF(I5&lt;H5-0.000001,"LIMITADA","")</f>
        <v/>
      </c>
    </row>
    <row r="6">
      <c r="A6" s="17">
        <v>1</v>
      </c>
      <c r="B6" s="17" t="str">
        <v>Obturaciones de amalgamas</v>
      </c>
      <c r="C6" s="14">
        <v>15</v>
      </c>
      <c r="D6" s="25">
        <v>15</v>
      </c>
      <c r="E6" s="25">
        <v>0</v>
      </c>
      <c r="F6" s="14">
        <v>16.47</v>
      </c>
      <c r="G6" s="6">
        <f>=(C6*((1+Parametros!$C$10)^MAX(0,($A6-1))))</f>
        <v>15</v>
      </c>
      <c r="H6" s="6">
        <f>=IF(($A6&gt;=Q6),(D6*((1+Parametros!$C$11)^MAX(0,($A6-Q6)))),0)</f>
        <v>15</v>
      </c>
      <c r="I6" s="6">
        <f>=Capacidad!$E$6</f>
        <v>15</v>
      </c>
      <c r="J6" s="6">
        <f>=(I6*12)</f>
        <v>180</v>
      </c>
      <c r="K6" s="6">
        <f>=(F6*((1+Parametros!$C$8)^MAX(0,($A6-1))))</f>
        <v>16.47</v>
      </c>
      <c r="L6" s="6">
        <f>=(G6*J6)</f>
        <v>2700</v>
      </c>
      <c r="M6" s="6">
        <f>=(K6*J6)</f>
        <v>2964.6</v>
      </c>
      <c r="N6" s="6">
        <f>=(L6-M6)</f>
        <v>-264.5999999999999</v>
      </c>
      <c r="O6" s="17">
        <v>0</v>
      </c>
      <c r="P6" s="21">
        <f>=Capacidad!$F$6</f>
        <v>0</v>
      </c>
      <c r="Q6" s="17">
        <v>1</v>
      </c>
      <c r="R6" s="23" t="str">
        <f>=IF(I6&lt;H6-0.000001,"LIMITADA","")</f>
        <v/>
      </c>
    </row>
    <row r="7">
      <c r="A7" s="17">
        <v>1</v>
      </c>
      <c r="B7" s="17" t="str">
        <v>Profilaxis con ultrasonido</v>
      </c>
      <c r="C7" s="14">
        <v>50</v>
      </c>
      <c r="D7" s="25">
        <v>10</v>
      </c>
      <c r="E7" s="25">
        <v>0</v>
      </c>
      <c r="F7" s="14">
        <v>54.9</v>
      </c>
      <c r="G7" s="6">
        <f>=(C7*((1+Parametros!$C$10)^MAX(0,($A7-1))))</f>
        <v>50</v>
      </c>
      <c r="H7" s="6">
        <f>=IF(($A7&gt;=Q7),(D7*((1+Parametros!$C$11)^MAX(0,($A7-Q7)))),0)</f>
        <v>10</v>
      </c>
      <c r="I7" s="6">
        <f>=Capacidad!$E$7</f>
        <v>10</v>
      </c>
      <c r="J7" s="6">
        <f>=(I7*12)</f>
        <v>120</v>
      </c>
      <c r="K7" s="6">
        <f>=(F7*((1+Parametros!$C$8)^MAX(0,($A7-1))))</f>
        <v>54.9</v>
      </c>
      <c r="L7" s="6">
        <f>=(G7*J7)</f>
        <v>6000</v>
      </c>
      <c r="M7" s="6">
        <f>=(K7*J7)</f>
        <v>6588</v>
      </c>
      <c r="N7" s="6">
        <f>=(L7-M7)</f>
        <v>-588</v>
      </c>
      <c r="O7" s="17">
        <v>0</v>
      </c>
      <c r="P7" s="21">
        <f>=Capacidad!$F$7</f>
        <v>0</v>
      </c>
      <c r="Q7" s="17">
        <v>1</v>
      </c>
      <c r="R7" s="23" t="str">
        <f>=IF(I7&lt;H7-0.000001,"LIMITADA","")</f>
        <v/>
      </c>
    </row>
    <row r="8">
      <c r="A8" s="17">
        <v>1</v>
      </c>
      <c r="B8" s="17" t="str">
        <v>Prótesis</v>
      </c>
      <c r="C8" s="14">
        <v>193.63333333333333</v>
      </c>
      <c r="D8" s="25">
        <v>15</v>
      </c>
      <c r="E8" s="25">
        <v>0</v>
      </c>
      <c r="F8" s="14">
        <v>212.61</v>
      </c>
      <c r="G8" s="6">
        <f>=(C8*((1+Parametros!$C$10)^MAX(0,($A8-1))))</f>
        <v>193.63333333333333</v>
      </c>
      <c r="H8" s="6">
        <f>=IF(($A8&gt;=Q8),(D8*((1+Parametros!$C$11)^MAX(0,($A8-Q8)))),0)</f>
        <v>15</v>
      </c>
      <c r="I8" s="6">
        <f>=Capacidad!$E$8</f>
        <v>15</v>
      </c>
      <c r="J8" s="6">
        <f>=(I8*12)</f>
        <v>180</v>
      </c>
      <c r="K8" s="6">
        <f>=(F8*((1+Parametros!$C$8)^MAX(0,($A8-1))))</f>
        <v>212.61</v>
      </c>
      <c r="L8" s="6">
        <f>=(G8*J8)</f>
        <v>34854</v>
      </c>
      <c r="M8" s="6">
        <f>=(K8*J8)</f>
        <v>38269.8</v>
      </c>
      <c r="N8" s="6">
        <f>=(L8-M8)</f>
        <v>-3415.800000000003</v>
      </c>
      <c r="O8" s="17">
        <v>0</v>
      </c>
      <c r="P8" s="21">
        <f>=Capacidad!$F$8</f>
        <v>0</v>
      </c>
      <c r="Q8" s="17">
        <v>1</v>
      </c>
      <c r="R8" s="23" t="str">
        <f>=IF(I8&lt;H8-0.000001,"LIMITADA","")</f>
        <v/>
      </c>
    </row>
    <row r="9">
      <c r="A9" s="17">
        <v>1</v>
      </c>
      <c r="B9" s="17" t="str">
        <v>Exodoncia</v>
      </c>
      <c r="C9" s="14">
        <v>124.16666666666667</v>
      </c>
      <c r="D9" s="25">
        <v>10</v>
      </c>
      <c r="E9" s="25">
        <v>0</v>
      </c>
      <c r="F9" s="14">
        <v>136.33</v>
      </c>
      <c r="G9" s="6">
        <f>=(C9*((1+Parametros!$C$10)^MAX(0,($A9-1))))</f>
        <v>124.16666666666667</v>
      </c>
      <c r="H9" s="6">
        <f>=IF(($A9&gt;=Q9),(D9*((1+Parametros!$C$11)^MAX(0,($A9-Q9)))),0)</f>
        <v>10</v>
      </c>
      <c r="I9" s="6">
        <f>=Capacidad!$E$9</f>
        <v>10</v>
      </c>
      <c r="J9" s="6">
        <f>=(I9*12)</f>
        <v>120</v>
      </c>
      <c r="K9" s="6">
        <f>=(F9*((1+Parametros!$C$8)^MAX(0,($A9-1))))</f>
        <v>136.33</v>
      </c>
      <c r="L9" s="6">
        <f>=(G9*J9)</f>
        <v>14900</v>
      </c>
      <c r="M9" s="6">
        <f>=(K9*J9)</f>
        <v>16359.600000000002</v>
      </c>
      <c r="N9" s="6">
        <f>=(L9-M9)</f>
        <v>-1459.6000000000022</v>
      </c>
      <c r="O9" s="17">
        <v>0</v>
      </c>
      <c r="P9" s="21">
        <f>=Capacidad!$F$9</f>
        <v>0</v>
      </c>
      <c r="Q9" s="17">
        <v>1</v>
      </c>
      <c r="R9" s="23" t="str">
        <f>=IF(I9&lt;H9-0.000001,"LIMITADA","")</f>
        <v/>
      </c>
    </row>
    <row r="10">
      <c r="A10" s="17">
        <v>1</v>
      </c>
      <c r="B10" s="17" t="str">
        <v>Resedimentado de corona</v>
      </c>
      <c r="C10" s="14">
        <v>25</v>
      </c>
      <c r="D10" s="25">
        <v>5</v>
      </c>
      <c r="E10" s="25">
        <v>0</v>
      </c>
      <c r="F10" s="14">
        <v>27.45</v>
      </c>
      <c r="G10" s="6">
        <f>=(C10*((1+Parametros!$C$10)^MAX(0,($A10-1))))</f>
        <v>25</v>
      </c>
      <c r="H10" s="6">
        <f>=IF(($A10&gt;=Q10),(D10*((1+Parametros!$C$11)^MAX(0,($A10-Q10)))),0)</f>
        <v>5</v>
      </c>
      <c r="I10" s="6">
        <f>=Capacidad!$E$10</f>
        <v>5</v>
      </c>
      <c r="J10" s="6">
        <f>=(I10*12)</f>
        <v>60</v>
      </c>
      <c r="K10" s="6">
        <f>=(F10*((1+Parametros!$C$8)^MAX(0,($A10-1))))</f>
        <v>27.45</v>
      </c>
      <c r="L10" s="6">
        <f>=(G10*J10)</f>
        <v>1500</v>
      </c>
      <c r="M10" s="6">
        <f>=(K10*J10)</f>
        <v>1647</v>
      </c>
      <c r="N10" s="6">
        <f>=(L10-M10)</f>
        <v>-147</v>
      </c>
      <c r="O10" s="17">
        <v>0</v>
      </c>
      <c r="P10" s="21">
        <f>=Capacidad!$F$10</f>
        <v>0</v>
      </c>
      <c r="Q10" s="17">
        <v>1</v>
      </c>
      <c r="R10" s="23" t="str">
        <f>=IF(I10&lt;H10-0.000001,"LIMITADA","")</f>
        <v/>
      </c>
    </row>
    <row r="11">
      <c r="A11" s="17">
        <v>1</v>
      </c>
      <c r="B11" s="17" t="str">
        <v>Corona y espiga acrílica</v>
      </c>
      <c r="C11" s="14">
        <v>80</v>
      </c>
      <c r="D11" s="25">
        <v>5</v>
      </c>
      <c r="E11" s="25">
        <v>0</v>
      </c>
      <c r="F11" s="14">
        <v>87.84</v>
      </c>
      <c r="G11" s="6">
        <f>=(C11*((1+Parametros!$C$10)^MAX(0,($A11-1))))</f>
        <v>80</v>
      </c>
      <c r="H11" s="6">
        <f>=IF(($A11&gt;=Q11),(D11*((1+Parametros!$C$11)^MAX(0,($A11-Q11)))),0)</f>
        <v>5</v>
      </c>
      <c r="I11" s="6">
        <f>=Capacidad!$E$11</f>
        <v>5</v>
      </c>
      <c r="J11" s="6">
        <f>=(I11*12)</f>
        <v>60</v>
      </c>
      <c r="K11" s="6">
        <f>=(F11*((1+Parametros!$C$8)^MAX(0,($A11-1))))</f>
        <v>87.84</v>
      </c>
      <c r="L11" s="6">
        <f>=(G11*J11)</f>
        <v>4800</v>
      </c>
      <c r="M11" s="6">
        <f>=(K11*J11)</f>
        <v>5270.400000000001</v>
      </c>
      <c r="N11" s="6">
        <f>=(L11-M11)</f>
        <v>-470.40000000000055</v>
      </c>
      <c r="O11" s="17">
        <v>0</v>
      </c>
      <c r="P11" s="21">
        <f>=Capacidad!$F$11</f>
        <v>0</v>
      </c>
      <c r="Q11" s="17">
        <v>1</v>
      </c>
      <c r="R11" s="23" t="str">
        <f>=IF(I11&lt;H11-0.000001,"LIMITADA","")</f>
        <v/>
      </c>
    </row>
    <row r="12">
      <c r="A12" s="17">
        <v>1</v>
      </c>
      <c r="B12" s="17" t="str">
        <v>Pulpotomía</v>
      </c>
      <c r="C12" s="14">
        <v>30</v>
      </c>
      <c r="D12" s="25">
        <v>3</v>
      </c>
      <c r="E12" s="25">
        <v>0</v>
      </c>
      <c r="F12" s="14">
        <v>32.94</v>
      </c>
      <c r="G12" s="6">
        <f>=(C12*((1+Parametros!$C$10)^MAX(0,($A12-1))))</f>
        <v>30</v>
      </c>
      <c r="H12" s="6">
        <f>=IF(($A12&gt;=Q12),(D12*((1+Parametros!$C$11)^MAX(0,($A12-Q12)))),0)</f>
        <v>3</v>
      </c>
      <c r="I12" s="6">
        <f>=Capacidad!$E$12</f>
        <v>3</v>
      </c>
      <c r="J12" s="6">
        <f>=(I12*12)</f>
        <v>36</v>
      </c>
      <c r="K12" s="6">
        <f>=(F12*((1+Parametros!$C$8)^MAX(0,($A12-1))))</f>
        <v>32.94</v>
      </c>
      <c r="L12" s="6">
        <f>=(G12*J12)</f>
        <v>1080</v>
      </c>
      <c r="M12" s="6">
        <f>=(K12*J12)</f>
        <v>1185.84</v>
      </c>
      <c r="N12" s="6">
        <f>=(L12-M12)</f>
        <v>-105.83999999999992</v>
      </c>
      <c r="O12" s="17">
        <v>0</v>
      </c>
      <c r="P12" s="21">
        <f>=Capacidad!$F$12</f>
        <v>0</v>
      </c>
      <c r="Q12" s="17">
        <v>1</v>
      </c>
      <c r="R12" s="23" t="str">
        <f>=IF(I12&lt;H12-0.000001,"LIMITADA","")</f>
        <v/>
      </c>
    </row>
    <row r="13">
      <c r="A13" s="17">
        <v>1</v>
      </c>
      <c r="B13" s="17" t="str">
        <v>Drenaje de absceso</v>
      </c>
      <c r="C13" s="14">
        <v>30</v>
      </c>
      <c r="D13" s="25">
        <v>5</v>
      </c>
      <c r="E13" s="25">
        <v>0</v>
      </c>
      <c r="F13" s="14">
        <v>32.94</v>
      </c>
      <c r="G13" s="6">
        <f>=(C13*((1+Parametros!$C$10)^MAX(0,($A13-1))))</f>
        <v>30</v>
      </c>
      <c r="H13" s="6">
        <f>=IF(($A13&gt;=Q13),(D13*((1+Parametros!$C$11)^MAX(0,($A13-Q13)))),0)</f>
        <v>5</v>
      </c>
      <c r="I13" s="6">
        <f>=Capacidad!$E$13</f>
        <v>5</v>
      </c>
      <c r="J13" s="6">
        <f>=(I13*12)</f>
        <v>60</v>
      </c>
      <c r="K13" s="6">
        <f>=(F13*((1+Parametros!$C$8)^MAX(0,($A13-1))))</f>
        <v>32.94</v>
      </c>
      <c r="L13" s="6">
        <f>=(G13*J13)</f>
        <v>1800</v>
      </c>
      <c r="M13" s="6">
        <f>=(K13*J13)</f>
        <v>1976.3999999999999</v>
      </c>
      <c r="N13" s="6">
        <f>=(L13-M13)</f>
        <v>-176.39999999999986</v>
      </c>
      <c r="O13" s="17">
        <v>0</v>
      </c>
      <c r="P13" s="21">
        <f>=Capacidad!$F$13</f>
        <v>0</v>
      </c>
      <c r="Q13" s="17">
        <v>1</v>
      </c>
      <c r="R13" s="23" t="str">
        <f>=IF(I13&lt;H13-0.000001,"LIMITADA","")</f>
        <v/>
      </c>
    </row>
    <row r="14">
      <c r="A14" s="17">
        <v>1</v>
      </c>
      <c r="B14" s="17" t="str">
        <v>Reparación de prótesis</v>
      </c>
      <c r="C14" s="14">
        <v>20</v>
      </c>
      <c r="D14" s="25">
        <v>5</v>
      </c>
      <c r="E14" s="25">
        <v>0</v>
      </c>
      <c r="F14" s="14">
        <v>21.96</v>
      </c>
      <c r="G14" s="6">
        <f>=(C14*((1+Parametros!$C$10)^MAX(0,($A14-1))))</f>
        <v>20</v>
      </c>
      <c r="H14" s="6">
        <f>=IF(($A14&gt;=Q14),(D14*((1+Parametros!$C$11)^MAX(0,($A14-Q14)))),0)</f>
        <v>5</v>
      </c>
      <c r="I14" s="6">
        <f>=Capacidad!$E$14</f>
        <v>5</v>
      </c>
      <c r="J14" s="6">
        <f>=(I14*12)</f>
        <v>60</v>
      </c>
      <c r="K14" s="6">
        <f>=(F14*((1+Parametros!$C$8)^MAX(0,($A14-1))))</f>
        <v>21.96</v>
      </c>
      <c r="L14" s="6">
        <f>=(G14*J14)</f>
        <v>1200</v>
      </c>
      <c r="M14" s="6">
        <f>=(K14*J14)</f>
        <v>1317.6000000000001</v>
      </c>
      <c r="N14" s="6">
        <f>=(L14-M14)</f>
        <v>-117.60000000000014</v>
      </c>
      <c r="O14" s="17">
        <v>0</v>
      </c>
      <c r="P14" s="21">
        <f>=Capacidad!$F$14</f>
        <v>0</v>
      </c>
      <c r="Q14" s="17">
        <v>1</v>
      </c>
      <c r="R14" s="23" t="str">
        <f>=IF(I14&lt;H14-0.000001,"LIMITADA","")</f>
        <v/>
      </c>
    </row>
    <row r="15">
      <c r="A15" s="17">
        <v>1</v>
      </c>
      <c r="B15" s="17" t="str">
        <v>Cura de óxido de zinc</v>
      </c>
      <c r="C15" s="14">
        <v>25</v>
      </c>
      <c r="D15" s="25">
        <v>25</v>
      </c>
      <c r="E15" s="25">
        <v>0</v>
      </c>
      <c r="F15" s="14">
        <v>27.45</v>
      </c>
      <c r="G15" s="6">
        <f>=(C15*((1+Parametros!$C$10)^MAX(0,($A15-1))))</f>
        <v>25</v>
      </c>
      <c r="H15" s="6">
        <f>=IF(($A15&gt;=Q15),(D15*((1+Parametros!$C$11)^MAX(0,($A15-Q15)))),0)</f>
        <v>25</v>
      </c>
      <c r="I15" s="6">
        <f>=Capacidad!$E$15</f>
        <v>25</v>
      </c>
      <c r="J15" s="6">
        <f>=(I15*12)</f>
        <v>300</v>
      </c>
      <c r="K15" s="6">
        <f>=(F15*((1+Parametros!$C$8)^MAX(0,($A15-1))))</f>
        <v>27.45</v>
      </c>
      <c r="L15" s="6">
        <f>=(G15*J15)</f>
        <v>7500</v>
      </c>
      <c r="M15" s="6">
        <f>=(K15*J15)</f>
        <v>8235</v>
      </c>
      <c r="N15" s="6">
        <f>=(L15-M15)</f>
        <v>-735</v>
      </c>
      <c r="O15" s="17">
        <v>0</v>
      </c>
      <c r="P15" s="21">
        <f>=Capacidad!$F$15</f>
        <v>0</v>
      </c>
      <c r="Q15" s="17">
        <v>1</v>
      </c>
      <c r="R15" s="23" t="str">
        <f>=IF(I15&lt;H15-0.000001,"LIMITADA","")</f>
        <v/>
      </c>
    </row>
    <row r="16">
      <c r="A16" s="17">
        <v>1</v>
      </c>
      <c r="B16" s="17" t="str">
        <v>Radiografía</v>
      </c>
      <c r="C16" s="14">
        <v>15</v>
      </c>
      <c r="D16" s="25">
        <v>30</v>
      </c>
      <c r="E16" s="25">
        <v>0</v>
      </c>
      <c r="F16" s="14">
        <v>16.47</v>
      </c>
      <c r="G16" s="6">
        <f>=(C16*((1+Parametros!$C$10)^MAX(0,($A16-1))))</f>
        <v>15</v>
      </c>
      <c r="H16" s="6">
        <f>=IF(($A16&gt;=Q16),(D16*((1+Parametros!$C$11)^MAX(0,($A16-Q16)))),0)</f>
        <v>30</v>
      </c>
      <c r="I16" s="6">
        <f>=Capacidad!$E$16</f>
        <v>30</v>
      </c>
      <c r="J16" s="6">
        <f>=(I16*12)</f>
        <v>360</v>
      </c>
      <c r="K16" s="6">
        <f>=(F16*((1+Parametros!$C$8)^MAX(0,($A16-1))))</f>
        <v>16.47</v>
      </c>
      <c r="L16" s="6">
        <f>=(G16*J16)</f>
        <v>5400</v>
      </c>
      <c r="M16" s="6">
        <f>=(K16*J16)</f>
        <v>5929.2</v>
      </c>
      <c r="N16" s="6">
        <f>=(L16-M16)</f>
        <v>-529.1999999999998</v>
      </c>
      <c r="O16" s="17">
        <v>0</v>
      </c>
      <c r="P16" s="21">
        <f>=Capacidad!$F$16</f>
        <v>0</v>
      </c>
      <c r="Q16" s="17">
        <v>1</v>
      </c>
      <c r="R16" s="23" t="str">
        <f>=IF(I16&lt;H16-0.000001,"LIMITADA","")</f>
        <v/>
      </c>
    </row>
    <row r="17">
      <c r="A17" s="17">
        <v>1</v>
      </c>
      <c r="B17" s="17" t="str">
        <v>Corona acrílica</v>
      </c>
      <c r="C17" s="14">
        <v>80</v>
      </c>
      <c r="D17" s="25">
        <v>10</v>
      </c>
      <c r="E17" s="25">
        <v>0</v>
      </c>
      <c r="F17" s="14">
        <v>87.84</v>
      </c>
      <c r="G17" s="6">
        <f>=(C17*((1+Parametros!$C$10)^MAX(0,($A17-1))))</f>
        <v>80</v>
      </c>
      <c r="H17" s="6">
        <f>=IF(($A17&gt;=Q17),(D17*((1+Parametros!$C$11)^MAX(0,($A17-Q17)))),0)</f>
        <v>10</v>
      </c>
      <c r="I17" s="6">
        <f>=Capacidad!$E$17</f>
        <v>10</v>
      </c>
      <c r="J17" s="6">
        <f>=(I17*12)</f>
        <v>120</v>
      </c>
      <c r="K17" s="6">
        <f>=(F17*((1+Parametros!$C$8)^MAX(0,($A17-1))))</f>
        <v>87.84</v>
      </c>
      <c r="L17" s="6">
        <f>=(G17*J17)</f>
        <v>9600</v>
      </c>
      <c r="M17" s="6">
        <f>=(K17*J17)</f>
        <v>10540.800000000001</v>
      </c>
      <c r="N17" s="6">
        <f>=(L17-M17)</f>
        <v>-940.8000000000011</v>
      </c>
      <c r="O17" s="17">
        <v>0</v>
      </c>
      <c r="P17" s="21">
        <f>=Capacidad!$F$17</f>
        <v>0</v>
      </c>
      <c r="Q17" s="17">
        <v>1</v>
      </c>
      <c r="R17" s="23" t="str">
        <f>=IF(I17&lt;H17-0.000001,"LIMITADA","")</f>
        <v/>
      </c>
    </row>
    <row r="18">
      <c r="A18" s="17">
        <v>1</v>
      </c>
      <c r="B18" s="17" t="str">
        <v>Blanqueamientos</v>
      </c>
      <c r="C18" s="14">
        <v>150</v>
      </c>
      <c r="D18" s="25">
        <v>10</v>
      </c>
      <c r="E18" s="25">
        <v>0</v>
      </c>
      <c r="F18" s="14">
        <v>164.7</v>
      </c>
      <c r="G18" s="6">
        <f>=(C18*((1+Parametros!$C$10)^MAX(0,($A18-1))))</f>
        <v>150</v>
      </c>
      <c r="H18" s="6">
        <f>=IF(($A18&gt;=Q18),(D18*((1+Parametros!$C$11)^MAX(0,($A18-Q18)))),0)</f>
        <v>10</v>
      </c>
      <c r="I18" s="6">
        <f>=Capacidad!$E$18</f>
        <v>10</v>
      </c>
      <c r="J18" s="6">
        <f>=(I18*12)</f>
        <v>120</v>
      </c>
      <c r="K18" s="6">
        <f>=(F18*((1+Parametros!$C$8)^MAX(0,($A18-1))))</f>
        <v>164.7</v>
      </c>
      <c r="L18" s="6">
        <f>=(G18*J18)</f>
        <v>18000</v>
      </c>
      <c r="M18" s="6">
        <f>=(K18*J18)</f>
        <v>19764</v>
      </c>
      <c r="N18" s="6">
        <f>=(L18-M18)</f>
        <v>-1764</v>
      </c>
      <c r="O18" s="17">
        <v>0</v>
      </c>
      <c r="P18" s="21">
        <f>=Capacidad!$F$18</f>
        <v>0</v>
      </c>
      <c r="Q18" s="17">
        <v>1</v>
      </c>
      <c r="R18" s="23" t="str">
        <f>=IF(I18&lt;H18-0.000001,"LIMITADA","")</f>
        <v/>
      </c>
    </row>
    <row r="19">
      <c r="A19" s="17">
        <v>2</v>
      </c>
      <c r="B19" s="17" t="str">
        <v>Tratamientos pulporadiculares (TPR)</v>
      </c>
      <c r="C19" s="14">
        <v>80</v>
      </c>
      <c r="D19" s="25">
        <v>3</v>
      </c>
      <c r="E19" s="25">
        <v>0</v>
      </c>
      <c r="F19" s="14">
        <v>87.84</v>
      </c>
      <c r="G19" s="6">
        <f>=(C19*((1+Parametros!$C$10)^MAX(0,($A19-1))))</f>
        <v>80</v>
      </c>
      <c r="H19" s="6">
        <f>=IF(($A19&gt;=Q19),(D19*((1+Parametros!$C$11)^MAX(0,($A19-Q19)))),0)</f>
        <v>3</v>
      </c>
      <c r="I19" s="6">
        <f>=Capacidad!$E$19</f>
        <v>3</v>
      </c>
      <c r="J19" s="6">
        <f>=(I19*12)</f>
        <v>36</v>
      </c>
      <c r="K19" s="6">
        <f>=(F19*((1+Parametros!$C$8)^MAX(0,($A19-1))))</f>
        <v>87.84</v>
      </c>
      <c r="L19" s="6">
        <f>=(G19*J19)</f>
        <v>2880</v>
      </c>
      <c r="M19" s="6">
        <f>=(K19*J19)</f>
        <v>3162.2400000000002</v>
      </c>
      <c r="N19" s="6">
        <f>=(L19-M19)</f>
        <v>-282.24000000000024</v>
      </c>
      <c r="O19" s="17">
        <v>0</v>
      </c>
      <c r="P19" s="21">
        <f>=Capacidad!$F$19</f>
        <v>0</v>
      </c>
      <c r="Q19" s="17">
        <v>1</v>
      </c>
      <c r="R19" s="23" t="str">
        <f>=IF(I19&lt;H19-0.000001,"LIMITADA","")</f>
        <v/>
      </c>
    </row>
    <row r="20">
      <c r="A20" s="17">
        <v>2</v>
      </c>
      <c r="B20" s="17" t="str">
        <v>Obturaciones de resina</v>
      </c>
      <c r="C20" s="14">
        <v>20</v>
      </c>
      <c r="D20" s="25">
        <v>15</v>
      </c>
      <c r="E20" s="25">
        <v>0</v>
      </c>
      <c r="F20" s="14">
        <v>21.96</v>
      </c>
      <c r="G20" s="6">
        <f>=(C20*((1+Parametros!$C$10)^MAX(0,($A20-1))))</f>
        <v>20</v>
      </c>
      <c r="H20" s="6">
        <f>=IF(($A20&gt;=Q20),(D20*((1+Parametros!$C$11)^MAX(0,($A20-Q20)))),0)</f>
        <v>15</v>
      </c>
      <c r="I20" s="6">
        <f>=Capacidad!$E$20</f>
        <v>15</v>
      </c>
      <c r="J20" s="6">
        <f>=(I20*12)</f>
        <v>180</v>
      </c>
      <c r="K20" s="6">
        <f>=(F20*((1+Parametros!$C$8)^MAX(0,($A20-1))))</f>
        <v>21.96</v>
      </c>
      <c r="L20" s="6">
        <f>=(G20*J20)</f>
        <v>3600</v>
      </c>
      <c r="M20" s="6">
        <f>=(K20*J20)</f>
        <v>3952.8</v>
      </c>
      <c r="N20" s="6">
        <f>=(L20-M20)</f>
        <v>-352.8000000000002</v>
      </c>
      <c r="O20" s="17">
        <v>0</v>
      </c>
      <c r="P20" s="21">
        <f>=Capacidad!$F$20</f>
        <v>0</v>
      </c>
      <c r="Q20" s="17">
        <v>1</v>
      </c>
      <c r="R20" s="23" t="str">
        <f>=IF(I20&lt;H20-0.000001,"LIMITADA","")</f>
        <v/>
      </c>
    </row>
    <row r="21">
      <c r="A21" s="17">
        <v>2</v>
      </c>
      <c r="B21" s="17" t="str">
        <v>Obturaciones de amalgamas</v>
      </c>
      <c r="C21" s="14">
        <v>15</v>
      </c>
      <c r="D21" s="25">
        <v>15</v>
      </c>
      <c r="E21" s="25">
        <v>0</v>
      </c>
      <c r="F21" s="14">
        <v>16.47</v>
      </c>
      <c r="G21" s="6">
        <f>=(C21*((1+Parametros!$C$10)^MAX(0,($A21-1))))</f>
        <v>15</v>
      </c>
      <c r="H21" s="6">
        <f>=IF(($A21&gt;=Q21),(D21*((1+Parametros!$C$11)^MAX(0,($A21-Q21)))),0)</f>
        <v>15</v>
      </c>
      <c r="I21" s="6">
        <f>=Capacidad!$E$21</f>
        <v>15</v>
      </c>
      <c r="J21" s="6">
        <f>=(I21*12)</f>
        <v>180</v>
      </c>
      <c r="K21" s="6">
        <f>=(F21*((1+Parametros!$C$8)^MAX(0,($A21-1))))</f>
        <v>16.47</v>
      </c>
      <c r="L21" s="6">
        <f>=(G21*J21)</f>
        <v>2700</v>
      </c>
      <c r="M21" s="6">
        <f>=(K21*J21)</f>
        <v>2964.6</v>
      </c>
      <c r="N21" s="6">
        <f>=(L21-M21)</f>
        <v>-264.5999999999999</v>
      </c>
      <c r="O21" s="17">
        <v>0</v>
      </c>
      <c r="P21" s="21">
        <f>=Capacidad!$F$21</f>
        <v>0</v>
      </c>
      <c r="Q21" s="17">
        <v>1</v>
      </c>
      <c r="R21" s="23" t="str">
        <f>=IF(I21&lt;H21-0.000001,"LIMITADA","")</f>
        <v/>
      </c>
    </row>
    <row r="22">
      <c r="A22" s="17">
        <v>2</v>
      </c>
      <c r="B22" s="17" t="str">
        <v>Profilaxis con ultrasonido</v>
      </c>
      <c r="C22" s="14">
        <v>50</v>
      </c>
      <c r="D22" s="25">
        <v>10</v>
      </c>
      <c r="E22" s="25">
        <v>0</v>
      </c>
      <c r="F22" s="14">
        <v>54.9</v>
      </c>
      <c r="G22" s="6">
        <f>=(C22*((1+Parametros!$C$10)^MAX(0,($A22-1))))</f>
        <v>50</v>
      </c>
      <c r="H22" s="6">
        <f>=IF(($A22&gt;=Q22),(D22*((1+Parametros!$C$11)^MAX(0,($A22-Q22)))),0)</f>
        <v>10</v>
      </c>
      <c r="I22" s="6">
        <f>=Capacidad!$E$22</f>
        <v>10</v>
      </c>
      <c r="J22" s="6">
        <f>=(I22*12)</f>
        <v>120</v>
      </c>
      <c r="K22" s="6">
        <f>=(F22*((1+Parametros!$C$8)^MAX(0,($A22-1))))</f>
        <v>54.9</v>
      </c>
      <c r="L22" s="6">
        <f>=(G22*J22)</f>
        <v>6000</v>
      </c>
      <c r="M22" s="6">
        <f>=(K22*J22)</f>
        <v>6588</v>
      </c>
      <c r="N22" s="6">
        <f>=(L22-M22)</f>
        <v>-588</v>
      </c>
      <c r="O22" s="17">
        <v>0</v>
      </c>
      <c r="P22" s="21">
        <f>=Capacidad!$F$22</f>
        <v>0</v>
      </c>
      <c r="Q22" s="17">
        <v>1</v>
      </c>
      <c r="R22" s="23" t="str">
        <f>=IF(I22&lt;H22-0.000001,"LIMITADA","")</f>
        <v/>
      </c>
    </row>
    <row r="23">
      <c r="A23" s="17">
        <v>2</v>
      </c>
      <c r="B23" s="17" t="str">
        <v>Prótesis</v>
      </c>
      <c r="C23" s="14">
        <v>193.63333333333333</v>
      </c>
      <c r="D23" s="25">
        <v>15</v>
      </c>
      <c r="E23" s="25">
        <v>0</v>
      </c>
      <c r="F23" s="14">
        <v>212.61</v>
      </c>
      <c r="G23" s="6">
        <f>=(C23*((1+Parametros!$C$10)^MAX(0,($A23-1))))</f>
        <v>193.63333333333333</v>
      </c>
      <c r="H23" s="6">
        <f>=IF(($A23&gt;=Q23),(D23*((1+Parametros!$C$11)^MAX(0,($A23-Q23)))),0)</f>
        <v>15</v>
      </c>
      <c r="I23" s="6">
        <f>=Capacidad!$E$23</f>
        <v>15</v>
      </c>
      <c r="J23" s="6">
        <f>=(I23*12)</f>
        <v>180</v>
      </c>
      <c r="K23" s="6">
        <f>=(F23*((1+Parametros!$C$8)^MAX(0,($A23-1))))</f>
        <v>212.61</v>
      </c>
      <c r="L23" s="6">
        <f>=(G23*J23)</f>
        <v>34854</v>
      </c>
      <c r="M23" s="6">
        <f>=(K23*J23)</f>
        <v>38269.8</v>
      </c>
      <c r="N23" s="6">
        <f>=(L23-M23)</f>
        <v>-3415.800000000003</v>
      </c>
      <c r="O23" s="17">
        <v>0</v>
      </c>
      <c r="P23" s="21">
        <f>=Capacidad!$F$23</f>
        <v>0</v>
      </c>
      <c r="Q23" s="17">
        <v>1</v>
      </c>
      <c r="R23" s="23" t="str">
        <f>=IF(I23&lt;H23-0.000001,"LIMITADA","")</f>
        <v/>
      </c>
    </row>
    <row r="24">
      <c r="A24" s="17">
        <v>2</v>
      </c>
      <c r="B24" s="17" t="str">
        <v>Exodoncia</v>
      </c>
      <c r="C24" s="14">
        <v>124.16666666666667</v>
      </c>
      <c r="D24" s="25">
        <v>10</v>
      </c>
      <c r="E24" s="25">
        <v>0</v>
      </c>
      <c r="F24" s="14">
        <v>136.33</v>
      </c>
      <c r="G24" s="6">
        <f>=(C24*((1+Parametros!$C$10)^MAX(0,($A24-1))))</f>
        <v>124.16666666666667</v>
      </c>
      <c r="H24" s="6">
        <f>=IF(($A24&gt;=Q24),(D24*((1+Parametros!$C$11)^MAX(0,($A24-Q24)))),0)</f>
        <v>10</v>
      </c>
      <c r="I24" s="6">
        <f>=Capacidad!$E$24</f>
        <v>10</v>
      </c>
      <c r="J24" s="6">
        <f>=(I24*12)</f>
        <v>120</v>
      </c>
      <c r="K24" s="6">
        <f>=(F24*((1+Parametros!$C$8)^MAX(0,($A24-1))))</f>
        <v>136.33</v>
      </c>
      <c r="L24" s="6">
        <f>=(G24*J24)</f>
        <v>14900</v>
      </c>
      <c r="M24" s="6">
        <f>=(K24*J24)</f>
        <v>16359.600000000002</v>
      </c>
      <c r="N24" s="6">
        <f>=(L24-M24)</f>
        <v>-1459.6000000000022</v>
      </c>
      <c r="O24" s="17">
        <v>0</v>
      </c>
      <c r="P24" s="21">
        <f>=Capacidad!$F$24</f>
        <v>0</v>
      </c>
      <c r="Q24" s="17">
        <v>1</v>
      </c>
      <c r="R24" s="23" t="str">
        <f>=IF(I24&lt;H24-0.000001,"LIMITADA","")</f>
        <v/>
      </c>
    </row>
    <row r="25">
      <c r="A25" s="17">
        <v>2</v>
      </c>
      <c r="B25" s="17" t="str">
        <v>Resedimentado de corona</v>
      </c>
      <c r="C25" s="14">
        <v>25</v>
      </c>
      <c r="D25" s="25">
        <v>5</v>
      </c>
      <c r="E25" s="25">
        <v>0</v>
      </c>
      <c r="F25" s="14">
        <v>27.45</v>
      </c>
      <c r="G25" s="6">
        <f>=(C25*((1+Parametros!$C$10)^MAX(0,($A25-1))))</f>
        <v>25</v>
      </c>
      <c r="H25" s="6">
        <f>=IF(($A25&gt;=Q25),(D25*((1+Parametros!$C$11)^MAX(0,($A25-Q25)))),0)</f>
        <v>5</v>
      </c>
      <c r="I25" s="6">
        <f>=Capacidad!$E$25</f>
        <v>5</v>
      </c>
      <c r="J25" s="6">
        <f>=(I25*12)</f>
        <v>60</v>
      </c>
      <c r="K25" s="6">
        <f>=(F25*((1+Parametros!$C$8)^MAX(0,($A25-1))))</f>
        <v>27.45</v>
      </c>
      <c r="L25" s="6">
        <f>=(G25*J25)</f>
        <v>1500</v>
      </c>
      <c r="M25" s="6">
        <f>=(K25*J25)</f>
        <v>1647</v>
      </c>
      <c r="N25" s="6">
        <f>=(L25-M25)</f>
        <v>-147</v>
      </c>
      <c r="O25" s="17">
        <v>0</v>
      </c>
      <c r="P25" s="21">
        <f>=Capacidad!$F$25</f>
        <v>0</v>
      </c>
      <c r="Q25" s="17">
        <v>1</v>
      </c>
      <c r="R25" s="23" t="str">
        <f>=IF(I25&lt;H25-0.000001,"LIMITADA","")</f>
        <v/>
      </c>
    </row>
    <row r="26">
      <c r="A26" s="17">
        <v>2</v>
      </c>
      <c r="B26" s="17" t="str">
        <v>Corona y espiga acrílica</v>
      </c>
      <c r="C26" s="14">
        <v>80</v>
      </c>
      <c r="D26" s="25">
        <v>5</v>
      </c>
      <c r="E26" s="25">
        <v>0</v>
      </c>
      <c r="F26" s="14">
        <v>87.84</v>
      </c>
      <c r="G26" s="6">
        <f>=(C26*((1+Parametros!$C$10)^MAX(0,($A26-1))))</f>
        <v>80</v>
      </c>
      <c r="H26" s="6">
        <f>=IF(($A26&gt;=Q26),(D26*((1+Parametros!$C$11)^MAX(0,($A26-Q26)))),0)</f>
        <v>5</v>
      </c>
      <c r="I26" s="6">
        <f>=Capacidad!$E$26</f>
        <v>5</v>
      </c>
      <c r="J26" s="6">
        <f>=(I26*12)</f>
        <v>60</v>
      </c>
      <c r="K26" s="6">
        <f>=(F26*((1+Parametros!$C$8)^MAX(0,($A26-1))))</f>
        <v>87.84</v>
      </c>
      <c r="L26" s="6">
        <f>=(G26*J26)</f>
        <v>4800</v>
      </c>
      <c r="M26" s="6">
        <f>=(K26*J26)</f>
        <v>5270.400000000001</v>
      </c>
      <c r="N26" s="6">
        <f>=(L26-M26)</f>
        <v>-470.40000000000055</v>
      </c>
      <c r="O26" s="17">
        <v>0</v>
      </c>
      <c r="P26" s="21">
        <f>=Capacidad!$F$26</f>
        <v>0</v>
      </c>
      <c r="Q26" s="17">
        <v>1</v>
      </c>
      <c r="R26" s="23" t="str">
        <f>=IF(I26&lt;H26-0.000001,"LIMITADA","")</f>
        <v/>
      </c>
    </row>
    <row r="27">
      <c r="A27" s="17">
        <v>2</v>
      </c>
      <c r="B27" s="17" t="str">
        <v>Pulpotomía</v>
      </c>
      <c r="C27" s="14">
        <v>30</v>
      </c>
      <c r="D27" s="25">
        <v>3</v>
      </c>
      <c r="E27" s="25">
        <v>0</v>
      </c>
      <c r="F27" s="14">
        <v>32.94</v>
      </c>
      <c r="G27" s="6">
        <f>=(C27*((1+Parametros!$C$10)^MAX(0,($A27-1))))</f>
        <v>30</v>
      </c>
      <c r="H27" s="6">
        <f>=IF(($A27&gt;=Q27),(D27*((1+Parametros!$C$11)^MAX(0,($A27-Q27)))),0)</f>
        <v>3</v>
      </c>
      <c r="I27" s="6">
        <f>=Capacidad!$E$27</f>
        <v>3</v>
      </c>
      <c r="J27" s="6">
        <f>=(I27*12)</f>
        <v>36</v>
      </c>
      <c r="K27" s="6">
        <f>=(F27*((1+Parametros!$C$8)^MAX(0,($A27-1))))</f>
        <v>32.94</v>
      </c>
      <c r="L27" s="6">
        <f>=(G27*J27)</f>
        <v>1080</v>
      </c>
      <c r="M27" s="6">
        <f>=(K27*J27)</f>
        <v>1185.84</v>
      </c>
      <c r="N27" s="6">
        <f>=(L27-M27)</f>
        <v>-105.83999999999992</v>
      </c>
      <c r="O27" s="17">
        <v>0</v>
      </c>
      <c r="P27" s="21">
        <f>=Capacidad!$F$27</f>
        <v>0</v>
      </c>
      <c r="Q27" s="17">
        <v>1</v>
      </c>
      <c r="R27" s="23" t="str">
        <f>=IF(I27&lt;H27-0.000001,"LIMITADA","")</f>
        <v/>
      </c>
    </row>
    <row r="28">
      <c r="A28" s="17">
        <v>2</v>
      </c>
      <c r="B28" s="17" t="str">
        <v>Drenaje de absceso</v>
      </c>
      <c r="C28" s="14">
        <v>30</v>
      </c>
      <c r="D28" s="25">
        <v>5</v>
      </c>
      <c r="E28" s="25">
        <v>0</v>
      </c>
      <c r="F28" s="14">
        <v>32.94</v>
      </c>
      <c r="G28" s="6">
        <f>=(C28*((1+Parametros!$C$10)^MAX(0,($A28-1))))</f>
        <v>30</v>
      </c>
      <c r="H28" s="6">
        <f>=IF(($A28&gt;=Q28),(D28*((1+Parametros!$C$11)^MAX(0,($A28-Q28)))),0)</f>
        <v>5</v>
      </c>
      <c r="I28" s="6">
        <f>=Capacidad!$E$28</f>
        <v>5</v>
      </c>
      <c r="J28" s="6">
        <f>=(I28*12)</f>
        <v>60</v>
      </c>
      <c r="K28" s="6">
        <f>=(F28*((1+Parametros!$C$8)^MAX(0,($A28-1))))</f>
        <v>32.94</v>
      </c>
      <c r="L28" s="6">
        <f>=(G28*J28)</f>
        <v>1800</v>
      </c>
      <c r="M28" s="6">
        <f>=(K28*J28)</f>
        <v>1976.3999999999999</v>
      </c>
      <c r="N28" s="6">
        <f>=(L28-M28)</f>
        <v>-176.39999999999986</v>
      </c>
      <c r="O28" s="17">
        <v>0</v>
      </c>
      <c r="P28" s="21">
        <f>=Capacidad!$F$28</f>
        <v>0</v>
      </c>
      <c r="Q28" s="17">
        <v>1</v>
      </c>
      <c r="R28" s="23" t="str">
        <f>=IF(I28&lt;H28-0.000001,"LIMITADA","")</f>
        <v/>
      </c>
    </row>
    <row r="29">
      <c r="A29" s="17">
        <v>2</v>
      </c>
      <c r="B29" s="17" t="str">
        <v>Reparación de prótesis</v>
      </c>
      <c r="C29" s="14">
        <v>20</v>
      </c>
      <c r="D29" s="25">
        <v>5</v>
      </c>
      <c r="E29" s="25">
        <v>0</v>
      </c>
      <c r="F29" s="14">
        <v>21.96</v>
      </c>
      <c r="G29" s="6">
        <f>=(C29*((1+Parametros!$C$10)^MAX(0,($A29-1))))</f>
        <v>20</v>
      </c>
      <c r="H29" s="6">
        <f>=IF(($A29&gt;=Q29),(D29*((1+Parametros!$C$11)^MAX(0,($A29-Q29)))),0)</f>
        <v>5</v>
      </c>
      <c r="I29" s="6">
        <f>=Capacidad!$E$29</f>
        <v>5</v>
      </c>
      <c r="J29" s="6">
        <f>=(I29*12)</f>
        <v>60</v>
      </c>
      <c r="K29" s="6">
        <f>=(F29*((1+Parametros!$C$8)^MAX(0,($A29-1))))</f>
        <v>21.96</v>
      </c>
      <c r="L29" s="6">
        <f>=(G29*J29)</f>
        <v>1200</v>
      </c>
      <c r="M29" s="6">
        <f>=(K29*J29)</f>
        <v>1317.6000000000001</v>
      </c>
      <c r="N29" s="6">
        <f>=(L29-M29)</f>
        <v>-117.60000000000014</v>
      </c>
      <c r="O29" s="17">
        <v>0</v>
      </c>
      <c r="P29" s="21">
        <f>=Capacidad!$F$29</f>
        <v>0</v>
      </c>
      <c r="Q29" s="17">
        <v>1</v>
      </c>
      <c r="R29" s="23" t="str">
        <f>=IF(I29&lt;H29-0.000001,"LIMITADA","")</f>
        <v/>
      </c>
    </row>
    <row r="30">
      <c r="A30" s="17">
        <v>2</v>
      </c>
      <c r="B30" s="17" t="str">
        <v>Cura de óxido de zinc</v>
      </c>
      <c r="C30" s="14">
        <v>25</v>
      </c>
      <c r="D30" s="25">
        <v>25</v>
      </c>
      <c r="E30" s="25">
        <v>0</v>
      </c>
      <c r="F30" s="14">
        <v>27.45</v>
      </c>
      <c r="G30" s="6">
        <f>=(C30*((1+Parametros!$C$10)^MAX(0,($A30-1))))</f>
        <v>25</v>
      </c>
      <c r="H30" s="6">
        <f>=IF(($A30&gt;=Q30),(D30*((1+Parametros!$C$11)^MAX(0,($A30-Q30)))),0)</f>
        <v>25</v>
      </c>
      <c r="I30" s="6">
        <f>=Capacidad!$E$30</f>
        <v>25</v>
      </c>
      <c r="J30" s="6">
        <f>=(I30*12)</f>
        <v>300</v>
      </c>
      <c r="K30" s="6">
        <f>=(F30*((1+Parametros!$C$8)^MAX(0,($A30-1))))</f>
        <v>27.45</v>
      </c>
      <c r="L30" s="6">
        <f>=(G30*J30)</f>
        <v>7500</v>
      </c>
      <c r="M30" s="6">
        <f>=(K30*J30)</f>
        <v>8235</v>
      </c>
      <c r="N30" s="6">
        <f>=(L30-M30)</f>
        <v>-735</v>
      </c>
      <c r="O30" s="17">
        <v>0</v>
      </c>
      <c r="P30" s="21">
        <f>=Capacidad!$F$30</f>
        <v>0</v>
      </c>
      <c r="Q30" s="17">
        <v>1</v>
      </c>
      <c r="R30" s="23" t="str">
        <f>=IF(I30&lt;H30-0.000001,"LIMITADA","")</f>
        <v/>
      </c>
    </row>
    <row r="31">
      <c r="A31" s="17">
        <v>2</v>
      </c>
      <c r="B31" s="17" t="str">
        <v>Radiografía</v>
      </c>
      <c r="C31" s="14">
        <v>15</v>
      </c>
      <c r="D31" s="25">
        <v>30</v>
      </c>
      <c r="E31" s="25">
        <v>0</v>
      </c>
      <c r="F31" s="14">
        <v>16.47</v>
      </c>
      <c r="G31" s="6">
        <f>=(C31*((1+Parametros!$C$10)^MAX(0,($A31-1))))</f>
        <v>15</v>
      </c>
      <c r="H31" s="6">
        <f>=IF(($A31&gt;=Q31),(D31*((1+Parametros!$C$11)^MAX(0,($A31-Q31)))),0)</f>
        <v>30</v>
      </c>
      <c r="I31" s="6">
        <f>=Capacidad!$E$31</f>
        <v>30</v>
      </c>
      <c r="J31" s="6">
        <f>=(I31*12)</f>
        <v>360</v>
      </c>
      <c r="K31" s="6">
        <f>=(F31*((1+Parametros!$C$8)^MAX(0,($A31-1))))</f>
        <v>16.47</v>
      </c>
      <c r="L31" s="6">
        <f>=(G31*J31)</f>
        <v>5400</v>
      </c>
      <c r="M31" s="6">
        <f>=(K31*J31)</f>
        <v>5929.2</v>
      </c>
      <c r="N31" s="6">
        <f>=(L31-M31)</f>
        <v>-529.1999999999998</v>
      </c>
      <c r="O31" s="17">
        <v>0</v>
      </c>
      <c r="P31" s="21">
        <f>=Capacidad!$F$31</f>
        <v>0</v>
      </c>
      <c r="Q31" s="17">
        <v>1</v>
      </c>
      <c r="R31" s="23" t="str">
        <f>=IF(I31&lt;H31-0.000001,"LIMITADA","")</f>
        <v/>
      </c>
    </row>
    <row r="32">
      <c r="A32" s="17">
        <v>2</v>
      </c>
      <c r="B32" s="17" t="str">
        <v>Corona acrílica</v>
      </c>
      <c r="C32" s="14">
        <v>80</v>
      </c>
      <c r="D32" s="25">
        <v>10</v>
      </c>
      <c r="E32" s="25">
        <v>0</v>
      </c>
      <c r="F32" s="14">
        <v>87.84</v>
      </c>
      <c r="G32" s="6">
        <f>=(C32*((1+Parametros!$C$10)^MAX(0,($A32-1))))</f>
        <v>80</v>
      </c>
      <c r="H32" s="6">
        <f>=IF(($A32&gt;=Q32),(D32*((1+Parametros!$C$11)^MAX(0,($A32-Q32)))),0)</f>
        <v>10</v>
      </c>
      <c r="I32" s="6">
        <f>=Capacidad!$E$32</f>
        <v>10</v>
      </c>
      <c r="J32" s="6">
        <f>=(I32*12)</f>
        <v>120</v>
      </c>
      <c r="K32" s="6">
        <f>=(F32*((1+Parametros!$C$8)^MAX(0,($A32-1))))</f>
        <v>87.84</v>
      </c>
      <c r="L32" s="6">
        <f>=(G32*J32)</f>
        <v>9600</v>
      </c>
      <c r="M32" s="6">
        <f>=(K32*J32)</f>
        <v>10540.800000000001</v>
      </c>
      <c r="N32" s="6">
        <f>=(L32-M32)</f>
        <v>-940.8000000000011</v>
      </c>
      <c r="O32" s="17">
        <v>0</v>
      </c>
      <c r="P32" s="21">
        <f>=Capacidad!$F$32</f>
        <v>0</v>
      </c>
      <c r="Q32" s="17">
        <v>1</v>
      </c>
      <c r="R32" s="23" t="str">
        <f>=IF(I32&lt;H32-0.000001,"LIMITADA","")</f>
        <v/>
      </c>
    </row>
    <row r="33">
      <c r="A33" s="17">
        <v>2</v>
      </c>
      <c r="B33" s="17" t="str">
        <v>Blanqueamientos</v>
      </c>
      <c r="C33" s="14">
        <v>150</v>
      </c>
      <c r="D33" s="25">
        <v>10</v>
      </c>
      <c r="E33" s="25">
        <v>0</v>
      </c>
      <c r="F33" s="14">
        <v>164.7</v>
      </c>
      <c r="G33" s="6">
        <f>=(C33*((1+Parametros!$C$10)^MAX(0,($A33-1))))</f>
        <v>150</v>
      </c>
      <c r="H33" s="6">
        <f>=IF(($A33&gt;=Q33),(D33*((1+Parametros!$C$11)^MAX(0,($A33-Q33)))),0)</f>
        <v>10</v>
      </c>
      <c r="I33" s="6">
        <f>=Capacidad!$E$33</f>
        <v>10</v>
      </c>
      <c r="J33" s="6">
        <f>=(I33*12)</f>
        <v>120</v>
      </c>
      <c r="K33" s="6">
        <f>=(F33*((1+Parametros!$C$8)^MAX(0,($A33-1))))</f>
        <v>164.7</v>
      </c>
      <c r="L33" s="6">
        <f>=(G33*J33)</f>
        <v>18000</v>
      </c>
      <c r="M33" s="6">
        <f>=(K33*J33)</f>
        <v>19764</v>
      </c>
      <c r="N33" s="6">
        <f>=(L33-M33)</f>
        <v>-1764</v>
      </c>
      <c r="O33" s="17">
        <v>0</v>
      </c>
      <c r="P33" s="21">
        <f>=Capacidad!$F$33</f>
        <v>0</v>
      </c>
      <c r="Q33" s="17">
        <v>1</v>
      </c>
      <c r="R33" s="23" t="str">
        <f>=IF(I33&lt;H33-0.000001,"LIMITADA","")</f>
        <v/>
      </c>
    </row>
    <row r="34">
      <c r="A34" s="17">
        <v>3</v>
      </c>
      <c r="B34" s="17" t="str">
        <v>Tratamientos pulporadiculares (TPR)</v>
      </c>
      <c r="C34" s="14">
        <v>80</v>
      </c>
      <c r="D34" s="25">
        <v>3</v>
      </c>
      <c r="E34" s="25">
        <v>0</v>
      </c>
      <c r="F34" s="14">
        <v>87.84</v>
      </c>
      <c r="G34" s="6">
        <f>=(C34*((1+Parametros!$C$10)^MAX(0,($A34-1))))</f>
        <v>80</v>
      </c>
      <c r="H34" s="6">
        <f>=IF(($A34&gt;=Q34),(D34*((1+Parametros!$C$11)^MAX(0,($A34-Q34)))),0)</f>
        <v>3</v>
      </c>
      <c r="I34" s="6">
        <f>=Capacidad!$E$34</f>
        <v>3</v>
      </c>
      <c r="J34" s="6">
        <f>=(I34*12)</f>
        <v>36</v>
      </c>
      <c r="K34" s="6">
        <f>=(F34*((1+Parametros!$C$8)^MAX(0,($A34-1))))</f>
        <v>87.84</v>
      </c>
      <c r="L34" s="6">
        <f>=(G34*J34)</f>
        <v>2880</v>
      </c>
      <c r="M34" s="6">
        <f>=(K34*J34)</f>
        <v>3162.2400000000002</v>
      </c>
      <c r="N34" s="6">
        <f>=(L34-M34)</f>
        <v>-282.24000000000024</v>
      </c>
      <c r="O34" s="17">
        <v>0</v>
      </c>
      <c r="P34" s="21">
        <f>=Capacidad!$F$34</f>
        <v>0</v>
      </c>
      <c r="Q34" s="17">
        <v>1</v>
      </c>
      <c r="R34" s="23" t="str">
        <f>=IF(I34&lt;H34-0.000001,"LIMITADA","")</f>
        <v/>
      </c>
    </row>
    <row r="35">
      <c r="A35" s="17">
        <v>3</v>
      </c>
      <c r="B35" s="17" t="str">
        <v>Obturaciones de resina</v>
      </c>
      <c r="C35" s="14">
        <v>20</v>
      </c>
      <c r="D35" s="25">
        <v>15</v>
      </c>
      <c r="E35" s="25">
        <v>0</v>
      </c>
      <c r="F35" s="14">
        <v>21.96</v>
      </c>
      <c r="G35" s="6">
        <f>=(C35*((1+Parametros!$C$10)^MAX(0,($A35-1))))</f>
        <v>20</v>
      </c>
      <c r="H35" s="6">
        <f>=IF(($A35&gt;=Q35),(D35*((1+Parametros!$C$11)^MAX(0,($A35-Q35)))),0)</f>
        <v>15</v>
      </c>
      <c r="I35" s="6">
        <f>=Capacidad!$E$35</f>
        <v>15</v>
      </c>
      <c r="J35" s="6">
        <f>=(I35*12)</f>
        <v>180</v>
      </c>
      <c r="K35" s="6">
        <f>=(F35*((1+Parametros!$C$8)^MAX(0,($A35-1))))</f>
        <v>21.96</v>
      </c>
      <c r="L35" s="6">
        <f>=(G35*J35)</f>
        <v>3600</v>
      </c>
      <c r="M35" s="6">
        <f>=(K35*J35)</f>
        <v>3952.8</v>
      </c>
      <c r="N35" s="6">
        <f>=(L35-M35)</f>
        <v>-352.8000000000002</v>
      </c>
      <c r="O35" s="17">
        <v>0</v>
      </c>
      <c r="P35" s="21">
        <f>=Capacidad!$F$35</f>
        <v>0</v>
      </c>
      <c r="Q35" s="17">
        <v>1</v>
      </c>
      <c r="R35" s="23" t="str">
        <f>=IF(I35&lt;H35-0.000001,"LIMITADA","")</f>
        <v/>
      </c>
    </row>
    <row r="36">
      <c r="A36" s="17">
        <v>3</v>
      </c>
      <c r="B36" s="17" t="str">
        <v>Obturaciones de amalgamas</v>
      </c>
      <c r="C36" s="14">
        <v>15</v>
      </c>
      <c r="D36" s="25">
        <v>15</v>
      </c>
      <c r="E36" s="25">
        <v>0</v>
      </c>
      <c r="F36" s="14">
        <v>16.47</v>
      </c>
      <c r="G36" s="6">
        <f>=(C36*((1+Parametros!$C$10)^MAX(0,($A36-1))))</f>
        <v>15</v>
      </c>
      <c r="H36" s="6">
        <f>=IF(($A36&gt;=Q36),(D36*((1+Parametros!$C$11)^MAX(0,($A36-Q36)))),0)</f>
        <v>15</v>
      </c>
      <c r="I36" s="6">
        <f>=Capacidad!$E$36</f>
        <v>15</v>
      </c>
      <c r="J36" s="6">
        <f>=(I36*12)</f>
        <v>180</v>
      </c>
      <c r="K36" s="6">
        <f>=(F36*((1+Parametros!$C$8)^MAX(0,($A36-1))))</f>
        <v>16.47</v>
      </c>
      <c r="L36" s="6">
        <f>=(G36*J36)</f>
        <v>2700</v>
      </c>
      <c r="M36" s="6">
        <f>=(K36*J36)</f>
        <v>2964.6</v>
      </c>
      <c r="N36" s="6">
        <f>=(L36-M36)</f>
        <v>-264.5999999999999</v>
      </c>
      <c r="O36" s="17">
        <v>0</v>
      </c>
      <c r="P36" s="21">
        <f>=Capacidad!$F$36</f>
        <v>0</v>
      </c>
      <c r="Q36" s="17">
        <v>1</v>
      </c>
      <c r="R36" s="23" t="str">
        <f>=IF(I36&lt;H36-0.000001,"LIMITADA","")</f>
        <v/>
      </c>
    </row>
    <row r="37">
      <c r="A37" s="17">
        <v>3</v>
      </c>
      <c r="B37" s="17" t="str">
        <v>Profilaxis con ultrasonido</v>
      </c>
      <c r="C37" s="14">
        <v>50</v>
      </c>
      <c r="D37" s="25">
        <v>10</v>
      </c>
      <c r="E37" s="25">
        <v>0</v>
      </c>
      <c r="F37" s="14">
        <v>54.9</v>
      </c>
      <c r="G37" s="6">
        <f>=(C37*((1+Parametros!$C$10)^MAX(0,($A37-1))))</f>
        <v>50</v>
      </c>
      <c r="H37" s="6">
        <f>=IF(($A37&gt;=Q37),(D37*((1+Parametros!$C$11)^MAX(0,($A37-Q37)))),0)</f>
        <v>10</v>
      </c>
      <c r="I37" s="6">
        <f>=Capacidad!$E$37</f>
        <v>10</v>
      </c>
      <c r="J37" s="6">
        <f>=(I37*12)</f>
        <v>120</v>
      </c>
      <c r="K37" s="6">
        <f>=(F37*((1+Parametros!$C$8)^MAX(0,($A37-1))))</f>
        <v>54.9</v>
      </c>
      <c r="L37" s="6">
        <f>=(G37*J37)</f>
        <v>6000</v>
      </c>
      <c r="M37" s="6">
        <f>=(K37*J37)</f>
        <v>6588</v>
      </c>
      <c r="N37" s="6">
        <f>=(L37-M37)</f>
        <v>-588</v>
      </c>
      <c r="O37" s="17">
        <v>0</v>
      </c>
      <c r="P37" s="21">
        <f>=Capacidad!$F$37</f>
        <v>0</v>
      </c>
      <c r="Q37" s="17">
        <v>1</v>
      </c>
      <c r="R37" s="23" t="str">
        <f>=IF(I37&lt;H37-0.000001,"LIMITADA","")</f>
        <v/>
      </c>
    </row>
    <row r="38">
      <c r="A38" s="17">
        <v>3</v>
      </c>
      <c r="B38" s="17" t="str">
        <v>Prótesis</v>
      </c>
      <c r="C38" s="14">
        <v>193.63333333333333</v>
      </c>
      <c r="D38" s="25">
        <v>15</v>
      </c>
      <c r="E38" s="25">
        <v>0</v>
      </c>
      <c r="F38" s="14">
        <v>212.61</v>
      </c>
      <c r="G38" s="6">
        <f>=(C38*((1+Parametros!$C$10)^MAX(0,($A38-1))))</f>
        <v>193.63333333333333</v>
      </c>
      <c r="H38" s="6">
        <f>=IF(($A38&gt;=Q38),(D38*((1+Parametros!$C$11)^MAX(0,($A38-Q38)))),0)</f>
        <v>15</v>
      </c>
      <c r="I38" s="6">
        <f>=Capacidad!$E$38</f>
        <v>15</v>
      </c>
      <c r="J38" s="6">
        <f>=(I38*12)</f>
        <v>180</v>
      </c>
      <c r="K38" s="6">
        <f>=(F38*((1+Parametros!$C$8)^MAX(0,($A38-1))))</f>
        <v>212.61</v>
      </c>
      <c r="L38" s="6">
        <f>=(G38*J38)</f>
        <v>34854</v>
      </c>
      <c r="M38" s="6">
        <f>=(K38*J38)</f>
        <v>38269.8</v>
      </c>
      <c r="N38" s="6">
        <f>=(L38-M38)</f>
        <v>-3415.800000000003</v>
      </c>
      <c r="O38" s="17">
        <v>0</v>
      </c>
      <c r="P38" s="21">
        <f>=Capacidad!$F$38</f>
        <v>0</v>
      </c>
      <c r="Q38" s="17">
        <v>1</v>
      </c>
      <c r="R38" s="23" t="str">
        <f>=IF(I38&lt;H38-0.000001,"LIMITADA","")</f>
        <v/>
      </c>
    </row>
    <row r="39">
      <c r="A39" s="17">
        <v>3</v>
      </c>
      <c r="B39" s="17" t="str">
        <v>Exodoncia</v>
      </c>
      <c r="C39" s="14">
        <v>124.16666666666667</v>
      </c>
      <c r="D39" s="25">
        <v>10</v>
      </c>
      <c r="E39" s="25">
        <v>0</v>
      </c>
      <c r="F39" s="14">
        <v>136.33</v>
      </c>
      <c r="G39" s="6">
        <f>=(C39*((1+Parametros!$C$10)^MAX(0,($A39-1))))</f>
        <v>124.16666666666667</v>
      </c>
      <c r="H39" s="6">
        <f>=IF(($A39&gt;=Q39),(D39*((1+Parametros!$C$11)^MAX(0,($A39-Q39)))),0)</f>
        <v>10</v>
      </c>
      <c r="I39" s="6">
        <f>=Capacidad!$E$39</f>
        <v>10</v>
      </c>
      <c r="J39" s="6">
        <f>=(I39*12)</f>
        <v>120</v>
      </c>
      <c r="K39" s="6">
        <f>=(F39*((1+Parametros!$C$8)^MAX(0,($A39-1))))</f>
        <v>136.33</v>
      </c>
      <c r="L39" s="6">
        <f>=(G39*J39)</f>
        <v>14900</v>
      </c>
      <c r="M39" s="6">
        <f>=(K39*J39)</f>
        <v>16359.600000000002</v>
      </c>
      <c r="N39" s="6">
        <f>=(L39-M39)</f>
        <v>-1459.6000000000022</v>
      </c>
      <c r="O39" s="17">
        <v>0</v>
      </c>
      <c r="P39" s="21">
        <f>=Capacidad!$F$39</f>
        <v>0</v>
      </c>
      <c r="Q39" s="17">
        <v>1</v>
      </c>
      <c r="R39" s="23" t="str">
        <f>=IF(I39&lt;H39-0.000001,"LIMITADA","")</f>
        <v/>
      </c>
    </row>
    <row r="40">
      <c r="A40" s="17">
        <v>3</v>
      </c>
      <c r="B40" s="17" t="str">
        <v>Resedimentado de corona</v>
      </c>
      <c r="C40" s="14">
        <v>25</v>
      </c>
      <c r="D40" s="25">
        <v>5</v>
      </c>
      <c r="E40" s="25">
        <v>0</v>
      </c>
      <c r="F40" s="14">
        <v>27.45</v>
      </c>
      <c r="G40" s="6">
        <f>=(C40*((1+Parametros!$C$10)^MAX(0,($A40-1))))</f>
        <v>25</v>
      </c>
      <c r="H40" s="6">
        <f>=IF(($A40&gt;=Q40),(D40*((1+Parametros!$C$11)^MAX(0,($A40-Q40)))),0)</f>
        <v>5</v>
      </c>
      <c r="I40" s="6">
        <f>=Capacidad!$E$40</f>
        <v>5</v>
      </c>
      <c r="J40" s="6">
        <f>=(I40*12)</f>
        <v>60</v>
      </c>
      <c r="K40" s="6">
        <f>=(F40*((1+Parametros!$C$8)^MAX(0,($A40-1))))</f>
        <v>27.45</v>
      </c>
      <c r="L40" s="6">
        <f>=(G40*J40)</f>
        <v>1500</v>
      </c>
      <c r="M40" s="6">
        <f>=(K40*J40)</f>
        <v>1647</v>
      </c>
      <c r="N40" s="6">
        <f>=(L40-M40)</f>
        <v>-147</v>
      </c>
      <c r="O40" s="17">
        <v>0</v>
      </c>
      <c r="P40" s="21">
        <f>=Capacidad!$F$40</f>
        <v>0</v>
      </c>
      <c r="Q40" s="17">
        <v>1</v>
      </c>
      <c r="R40" s="23" t="str">
        <f>=IF(I40&lt;H40-0.000001,"LIMITADA","")</f>
        <v/>
      </c>
    </row>
    <row r="41">
      <c r="A41" s="17">
        <v>3</v>
      </c>
      <c r="B41" s="17" t="str">
        <v>Corona y espiga acrílica</v>
      </c>
      <c r="C41" s="14">
        <v>80</v>
      </c>
      <c r="D41" s="25">
        <v>5</v>
      </c>
      <c r="E41" s="25">
        <v>0</v>
      </c>
      <c r="F41" s="14">
        <v>87.84</v>
      </c>
      <c r="G41" s="6">
        <f>=(C41*((1+Parametros!$C$10)^MAX(0,($A41-1))))</f>
        <v>80</v>
      </c>
      <c r="H41" s="6">
        <f>=IF(($A41&gt;=Q41),(D41*((1+Parametros!$C$11)^MAX(0,($A41-Q41)))),0)</f>
        <v>5</v>
      </c>
      <c r="I41" s="6">
        <f>=Capacidad!$E$41</f>
        <v>5</v>
      </c>
      <c r="J41" s="6">
        <f>=(I41*12)</f>
        <v>60</v>
      </c>
      <c r="K41" s="6">
        <f>=(F41*((1+Parametros!$C$8)^MAX(0,($A41-1))))</f>
        <v>87.84</v>
      </c>
      <c r="L41" s="6">
        <f>=(G41*J41)</f>
        <v>4800</v>
      </c>
      <c r="M41" s="6">
        <f>=(K41*J41)</f>
        <v>5270.400000000001</v>
      </c>
      <c r="N41" s="6">
        <f>=(L41-M41)</f>
        <v>-470.40000000000055</v>
      </c>
      <c r="O41" s="17">
        <v>0</v>
      </c>
      <c r="P41" s="21">
        <f>=Capacidad!$F$41</f>
        <v>0</v>
      </c>
      <c r="Q41" s="17">
        <v>1</v>
      </c>
      <c r="R41" s="23" t="str">
        <f>=IF(I41&lt;H41-0.000001,"LIMITADA","")</f>
        <v/>
      </c>
    </row>
    <row r="42">
      <c r="A42" s="17">
        <v>3</v>
      </c>
      <c r="B42" s="17" t="str">
        <v>Pulpotomía</v>
      </c>
      <c r="C42" s="14">
        <v>30</v>
      </c>
      <c r="D42" s="25">
        <v>3</v>
      </c>
      <c r="E42" s="25">
        <v>0</v>
      </c>
      <c r="F42" s="14">
        <v>32.94</v>
      </c>
      <c r="G42" s="6">
        <f>=(C42*((1+Parametros!$C$10)^MAX(0,($A42-1))))</f>
        <v>30</v>
      </c>
      <c r="H42" s="6">
        <f>=IF(($A42&gt;=Q42),(D42*((1+Parametros!$C$11)^MAX(0,($A42-Q42)))),0)</f>
        <v>3</v>
      </c>
      <c r="I42" s="6">
        <f>=Capacidad!$E$42</f>
        <v>3</v>
      </c>
      <c r="J42" s="6">
        <f>=(I42*12)</f>
        <v>36</v>
      </c>
      <c r="K42" s="6">
        <f>=(F42*((1+Parametros!$C$8)^MAX(0,($A42-1))))</f>
        <v>32.94</v>
      </c>
      <c r="L42" s="6">
        <f>=(G42*J42)</f>
        <v>1080</v>
      </c>
      <c r="M42" s="6">
        <f>=(K42*J42)</f>
        <v>1185.84</v>
      </c>
      <c r="N42" s="6">
        <f>=(L42-M42)</f>
        <v>-105.83999999999992</v>
      </c>
      <c r="O42" s="17">
        <v>0</v>
      </c>
      <c r="P42" s="21">
        <f>=Capacidad!$F$42</f>
        <v>0</v>
      </c>
      <c r="Q42" s="17">
        <v>1</v>
      </c>
      <c r="R42" s="23" t="str">
        <f>=IF(I42&lt;H42-0.000001,"LIMITADA","")</f>
        <v/>
      </c>
    </row>
    <row r="43">
      <c r="A43" s="17">
        <v>3</v>
      </c>
      <c r="B43" s="17" t="str">
        <v>Drenaje de absceso</v>
      </c>
      <c r="C43" s="14">
        <v>30</v>
      </c>
      <c r="D43" s="25">
        <v>5</v>
      </c>
      <c r="E43" s="25">
        <v>0</v>
      </c>
      <c r="F43" s="14">
        <v>32.94</v>
      </c>
      <c r="G43" s="6">
        <f>=(C43*((1+Parametros!$C$10)^MAX(0,($A43-1))))</f>
        <v>30</v>
      </c>
      <c r="H43" s="6">
        <f>=IF(($A43&gt;=Q43),(D43*((1+Parametros!$C$11)^MAX(0,($A43-Q43)))),0)</f>
        <v>5</v>
      </c>
      <c r="I43" s="6">
        <f>=Capacidad!$E$43</f>
        <v>5</v>
      </c>
      <c r="J43" s="6">
        <f>=(I43*12)</f>
        <v>60</v>
      </c>
      <c r="K43" s="6">
        <f>=(F43*((1+Parametros!$C$8)^MAX(0,($A43-1))))</f>
        <v>32.94</v>
      </c>
      <c r="L43" s="6">
        <f>=(G43*J43)</f>
        <v>1800</v>
      </c>
      <c r="M43" s="6">
        <f>=(K43*J43)</f>
        <v>1976.3999999999999</v>
      </c>
      <c r="N43" s="6">
        <f>=(L43-M43)</f>
        <v>-176.39999999999986</v>
      </c>
      <c r="O43" s="17">
        <v>0</v>
      </c>
      <c r="P43" s="21">
        <f>=Capacidad!$F$43</f>
        <v>0</v>
      </c>
      <c r="Q43" s="17">
        <v>1</v>
      </c>
      <c r="R43" s="23" t="str">
        <f>=IF(I43&lt;H43-0.000001,"LIMITADA","")</f>
        <v/>
      </c>
    </row>
    <row r="44">
      <c r="A44" s="17">
        <v>3</v>
      </c>
      <c r="B44" s="17" t="str">
        <v>Reparación de prótesis</v>
      </c>
      <c r="C44" s="14">
        <v>20</v>
      </c>
      <c r="D44" s="25">
        <v>5</v>
      </c>
      <c r="E44" s="25">
        <v>0</v>
      </c>
      <c r="F44" s="14">
        <v>21.96</v>
      </c>
      <c r="G44" s="6">
        <f>=(C44*((1+Parametros!$C$10)^MAX(0,($A44-1))))</f>
        <v>20</v>
      </c>
      <c r="H44" s="6">
        <f>=IF(($A44&gt;=Q44),(D44*((1+Parametros!$C$11)^MAX(0,($A44-Q44)))),0)</f>
        <v>5</v>
      </c>
      <c r="I44" s="6">
        <f>=Capacidad!$E$44</f>
        <v>5</v>
      </c>
      <c r="J44" s="6">
        <f>=(I44*12)</f>
        <v>60</v>
      </c>
      <c r="K44" s="6">
        <f>=(F44*((1+Parametros!$C$8)^MAX(0,($A44-1))))</f>
        <v>21.96</v>
      </c>
      <c r="L44" s="6">
        <f>=(G44*J44)</f>
        <v>1200</v>
      </c>
      <c r="M44" s="6">
        <f>=(K44*J44)</f>
        <v>1317.6000000000001</v>
      </c>
      <c r="N44" s="6">
        <f>=(L44-M44)</f>
        <v>-117.60000000000014</v>
      </c>
      <c r="O44" s="17">
        <v>0</v>
      </c>
      <c r="P44" s="21">
        <f>=Capacidad!$F$44</f>
        <v>0</v>
      </c>
      <c r="Q44" s="17">
        <v>1</v>
      </c>
      <c r="R44" s="23" t="str">
        <f>=IF(I44&lt;H44-0.000001,"LIMITADA","")</f>
        <v/>
      </c>
    </row>
    <row r="45">
      <c r="A45" s="17">
        <v>3</v>
      </c>
      <c r="B45" s="17" t="str">
        <v>Cura de óxido de zinc</v>
      </c>
      <c r="C45" s="14">
        <v>25</v>
      </c>
      <c r="D45" s="25">
        <v>25</v>
      </c>
      <c r="E45" s="25">
        <v>0</v>
      </c>
      <c r="F45" s="14">
        <v>27.45</v>
      </c>
      <c r="G45" s="6">
        <f>=(C45*((1+Parametros!$C$10)^MAX(0,($A45-1))))</f>
        <v>25</v>
      </c>
      <c r="H45" s="6">
        <f>=IF(($A45&gt;=Q45),(D45*((1+Parametros!$C$11)^MAX(0,($A45-Q45)))),0)</f>
        <v>25</v>
      </c>
      <c r="I45" s="6">
        <f>=Capacidad!$E$45</f>
        <v>25</v>
      </c>
      <c r="J45" s="6">
        <f>=(I45*12)</f>
        <v>300</v>
      </c>
      <c r="K45" s="6">
        <f>=(F45*((1+Parametros!$C$8)^MAX(0,($A45-1))))</f>
        <v>27.45</v>
      </c>
      <c r="L45" s="6">
        <f>=(G45*J45)</f>
        <v>7500</v>
      </c>
      <c r="M45" s="6">
        <f>=(K45*J45)</f>
        <v>8235</v>
      </c>
      <c r="N45" s="6">
        <f>=(L45-M45)</f>
        <v>-735</v>
      </c>
      <c r="O45" s="17">
        <v>0</v>
      </c>
      <c r="P45" s="21">
        <f>=Capacidad!$F$45</f>
        <v>0</v>
      </c>
      <c r="Q45" s="17">
        <v>1</v>
      </c>
      <c r="R45" s="23" t="str">
        <f>=IF(I45&lt;H45-0.000001,"LIMITADA","")</f>
        <v/>
      </c>
    </row>
    <row r="46">
      <c r="A46" s="17">
        <v>3</v>
      </c>
      <c r="B46" s="17" t="str">
        <v>Radiografía</v>
      </c>
      <c r="C46" s="14">
        <v>15</v>
      </c>
      <c r="D46" s="25">
        <v>30</v>
      </c>
      <c r="E46" s="25">
        <v>0</v>
      </c>
      <c r="F46" s="14">
        <v>16.47</v>
      </c>
      <c r="G46" s="6">
        <f>=(C46*((1+Parametros!$C$10)^MAX(0,($A46-1))))</f>
        <v>15</v>
      </c>
      <c r="H46" s="6">
        <f>=IF(($A46&gt;=Q46),(D46*((1+Parametros!$C$11)^MAX(0,($A46-Q46)))),0)</f>
        <v>30</v>
      </c>
      <c r="I46" s="6">
        <f>=Capacidad!$E$46</f>
        <v>30</v>
      </c>
      <c r="J46" s="6">
        <f>=(I46*12)</f>
        <v>360</v>
      </c>
      <c r="K46" s="6">
        <f>=(F46*((1+Parametros!$C$8)^MAX(0,($A46-1))))</f>
        <v>16.47</v>
      </c>
      <c r="L46" s="6">
        <f>=(G46*J46)</f>
        <v>5400</v>
      </c>
      <c r="M46" s="6">
        <f>=(K46*J46)</f>
        <v>5929.2</v>
      </c>
      <c r="N46" s="6">
        <f>=(L46-M46)</f>
        <v>-529.1999999999998</v>
      </c>
      <c r="O46" s="17">
        <v>0</v>
      </c>
      <c r="P46" s="21">
        <f>=Capacidad!$F$46</f>
        <v>0</v>
      </c>
      <c r="Q46" s="17">
        <v>1</v>
      </c>
      <c r="R46" s="23" t="str">
        <f>=IF(I46&lt;H46-0.000001,"LIMITADA","")</f>
        <v/>
      </c>
    </row>
    <row r="47">
      <c r="A47" s="17">
        <v>3</v>
      </c>
      <c r="B47" s="17" t="str">
        <v>Corona acrílica</v>
      </c>
      <c r="C47" s="14">
        <v>80</v>
      </c>
      <c r="D47" s="25">
        <v>10</v>
      </c>
      <c r="E47" s="25">
        <v>0</v>
      </c>
      <c r="F47" s="14">
        <v>87.84</v>
      </c>
      <c r="G47" s="6">
        <f>=(C47*((1+Parametros!$C$10)^MAX(0,($A47-1))))</f>
        <v>80</v>
      </c>
      <c r="H47" s="6">
        <f>=IF(($A47&gt;=Q47),(D47*((1+Parametros!$C$11)^MAX(0,($A47-Q47)))),0)</f>
        <v>10</v>
      </c>
      <c r="I47" s="6">
        <f>=Capacidad!$E$47</f>
        <v>10</v>
      </c>
      <c r="J47" s="6">
        <f>=(I47*12)</f>
        <v>120</v>
      </c>
      <c r="K47" s="6">
        <f>=(F47*((1+Parametros!$C$8)^MAX(0,($A47-1))))</f>
        <v>87.84</v>
      </c>
      <c r="L47" s="6">
        <f>=(G47*J47)</f>
        <v>9600</v>
      </c>
      <c r="M47" s="6">
        <f>=(K47*J47)</f>
        <v>10540.800000000001</v>
      </c>
      <c r="N47" s="6">
        <f>=(L47-M47)</f>
        <v>-940.8000000000011</v>
      </c>
      <c r="O47" s="17">
        <v>0</v>
      </c>
      <c r="P47" s="21">
        <f>=Capacidad!$F$47</f>
        <v>0</v>
      </c>
      <c r="Q47" s="17">
        <v>1</v>
      </c>
      <c r="R47" s="23" t="str">
        <f>=IF(I47&lt;H47-0.000001,"LIMITADA","")</f>
        <v/>
      </c>
    </row>
    <row r="48">
      <c r="A48" s="17">
        <v>3</v>
      </c>
      <c r="B48" s="17" t="str">
        <v>Blanqueamientos</v>
      </c>
      <c r="C48" s="14">
        <v>150</v>
      </c>
      <c r="D48" s="25">
        <v>10</v>
      </c>
      <c r="E48" s="25">
        <v>0</v>
      </c>
      <c r="F48" s="14">
        <v>164.7</v>
      </c>
      <c r="G48" s="6">
        <f>=(C48*((1+Parametros!$C$10)^MAX(0,($A48-1))))</f>
        <v>150</v>
      </c>
      <c r="H48" s="6">
        <f>=IF(($A48&gt;=Q48),(D48*((1+Parametros!$C$11)^MAX(0,($A48-Q48)))),0)</f>
        <v>10</v>
      </c>
      <c r="I48" s="6">
        <f>=Capacidad!$E$48</f>
        <v>10</v>
      </c>
      <c r="J48" s="6">
        <f>=(I48*12)</f>
        <v>120</v>
      </c>
      <c r="K48" s="6">
        <f>=(F48*((1+Parametros!$C$8)^MAX(0,($A48-1))))</f>
        <v>164.7</v>
      </c>
      <c r="L48" s="6">
        <f>=(G48*J48)</f>
        <v>18000</v>
      </c>
      <c r="M48" s="6">
        <f>=(K48*J48)</f>
        <v>19764</v>
      </c>
      <c r="N48" s="6">
        <f>=(L48-M48)</f>
        <v>-1764</v>
      </c>
      <c r="O48" s="17">
        <v>0</v>
      </c>
      <c r="P48" s="21">
        <f>=Capacidad!$F$48</f>
        <v>0</v>
      </c>
      <c r="Q48" s="17">
        <v>1</v>
      </c>
      <c r="R48" s="23" t="str">
        <f>=IF(I48&lt;H48-0.000001,"LIMITADA","")</f>
        <v/>
      </c>
    </row>
    <row r="49">
      <c r="A49" s="17">
        <v>4</v>
      </c>
      <c r="B49" s="17" t="str">
        <v>Tratamientos pulporadiculares (TPR)</v>
      </c>
      <c r="C49" s="14">
        <v>80</v>
      </c>
      <c r="D49" s="25">
        <v>3</v>
      </c>
      <c r="E49" s="25">
        <v>0</v>
      </c>
      <c r="F49" s="14">
        <v>87.84</v>
      </c>
      <c r="G49" s="6">
        <f>=(C49*((1+Parametros!$C$10)^MAX(0,($A49-1))))</f>
        <v>80</v>
      </c>
      <c r="H49" s="6">
        <f>=IF(($A49&gt;=Q49),(D49*((1+Parametros!$C$11)^MAX(0,($A49-Q49)))),0)</f>
        <v>3</v>
      </c>
      <c r="I49" s="6">
        <f>=Capacidad!$E$49</f>
        <v>3</v>
      </c>
      <c r="J49" s="6">
        <f>=(I49*12)</f>
        <v>36</v>
      </c>
      <c r="K49" s="6">
        <f>=(F49*((1+Parametros!$C$8)^MAX(0,($A49-1))))</f>
        <v>87.84</v>
      </c>
      <c r="L49" s="6">
        <f>=(G49*J49)</f>
        <v>2880</v>
      </c>
      <c r="M49" s="6">
        <f>=(K49*J49)</f>
        <v>3162.2400000000002</v>
      </c>
      <c r="N49" s="6">
        <f>=(L49-M49)</f>
        <v>-282.24000000000024</v>
      </c>
      <c r="O49" s="17">
        <v>0</v>
      </c>
      <c r="P49" s="21">
        <f>=Capacidad!$F$49</f>
        <v>0</v>
      </c>
      <c r="Q49" s="17">
        <v>1</v>
      </c>
      <c r="R49" s="23" t="str">
        <f>=IF(I49&lt;H49-0.000001,"LIMITADA","")</f>
        <v/>
      </c>
    </row>
    <row r="50">
      <c r="A50" s="17">
        <v>4</v>
      </c>
      <c r="B50" s="17" t="str">
        <v>Obturaciones de resina</v>
      </c>
      <c r="C50" s="14">
        <v>20</v>
      </c>
      <c r="D50" s="25">
        <v>15</v>
      </c>
      <c r="E50" s="25">
        <v>0</v>
      </c>
      <c r="F50" s="14">
        <v>21.96</v>
      </c>
      <c r="G50" s="6">
        <f>=(C50*((1+Parametros!$C$10)^MAX(0,($A50-1))))</f>
        <v>20</v>
      </c>
      <c r="H50" s="6">
        <f>=IF(($A50&gt;=Q50),(D50*((1+Parametros!$C$11)^MAX(0,($A50-Q50)))),0)</f>
        <v>15</v>
      </c>
      <c r="I50" s="6">
        <f>=Capacidad!$E$50</f>
        <v>15</v>
      </c>
      <c r="J50" s="6">
        <f>=(I50*12)</f>
        <v>180</v>
      </c>
      <c r="K50" s="6">
        <f>=(F50*((1+Parametros!$C$8)^MAX(0,($A50-1))))</f>
        <v>21.96</v>
      </c>
      <c r="L50" s="6">
        <f>=(G50*J50)</f>
        <v>3600</v>
      </c>
      <c r="M50" s="6">
        <f>=(K50*J50)</f>
        <v>3952.8</v>
      </c>
      <c r="N50" s="6">
        <f>=(L50-M50)</f>
        <v>-352.8000000000002</v>
      </c>
      <c r="O50" s="17">
        <v>0</v>
      </c>
      <c r="P50" s="21">
        <f>=Capacidad!$F$50</f>
        <v>0</v>
      </c>
      <c r="Q50" s="17">
        <v>1</v>
      </c>
      <c r="R50" s="23" t="str">
        <f>=IF(I50&lt;H50-0.000001,"LIMITADA","")</f>
        <v/>
      </c>
    </row>
    <row r="51">
      <c r="A51" s="17">
        <v>4</v>
      </c>
      <c r="B51" s="17" t="str">
        <v>Obturaciones de amalgamas</v>
      </c>
      <c r="C51" s="14">
        <v>15</v>
      </c>
      <c r="D51" s="25">
        <v>15</v>
      </c>
      <c r="E51" s="25">
        <v>0</v>
      </c>
      <c r="F51" s="14">
        <v>16.47</v>
      </c>
      <c r="G51" s="6">
        <f>=(C51*((1+Parametros!$C$10)^MAX(0,($A51-1))))</f>
        <v>15</v>
      </c>
      <c r="H51" s="6">
        <f>=IF(($A51&gt;=Q51),(D51*((1+Parametros!$C$11)^MAX(0,($A51-Q51)))),0)</f>
        <v>15</v>
      </c>
      <c r="I51" s="6">
        <f>=Capacidad!$E$51</f>
        <v>15</v>
      </c>
      <c r="J51" s="6">
        <f>=(I51*12)</f>
        <v>180</v>
      </c>
      <c r="K51" s="6">
        <f>=(F51*((1+Parametros!$C$8)^MAX(0,($A51-1))))</f>
        <v>16.47</v>
      </c>
      <c r="L51" s="6">
        <f>=(G51*J51)</f>
        <v>2700</v>
      </c>
      <c r="M51" s="6">
        <f>=(K51*J51)</f>
        <v>2964.6</v>
      </c>
      <c r="N51" s="6">
        <f>=(L51-M51)</f>
        <v>-264.5999999999999</v>
      </c>
      <c r="O51" s="17">
        <v>0</v>
      </c>
      <c r="P51" s="21">
        <f>=Capacidad!$F$51</f>
        <v>0</v>
      </c>
      <c r="Q51" s="17">
        <v>1</v>
      </c>
      <c r="R51" s="23" t="str">
        <f>=IF(I51&lt;H51-0.000001,"LIMITADA","")</f>
        <v/>
      </c>
    </row>
    <row r="52">
      <c r="A52" s="17">
        <v>4</v>
      </c>
      <c r="B52" s="17" t="str">
        <v>Profilaxis con ultrasonido</v>
      </c>
      <c r="C52" s="14">
        <v>50</v>
      </c>
      <c r="D52" s="25">
        <v>10</v>
      </c>
      <c r="E52" s="25">
        <v>0</v>
      </c>
      <c r="F52" s="14">
        <v>54.9</v>
      </c>
      <c r="G52" s="6">
        <f>=(C52*((1+Parametros!$C$10)^MAX(0,($A52-1))))</f>
        <v>50</v>
      </c>
      <c r="H52" s="6">
        <f>=IF(($A52&gt;=Q52),(D52*((1+Parametros!$C$11)^MAX(0,($A52-Q52)))),0)</f>
        <v>10</v>
      </c>
      <c r="I52" s="6">
        <f>=Capacidad!$E$52</f>
        <v>10</v>
      </c>
      <c r="J52" s="6">
        <f>=(I52*12)</f>
        <v>120</v>
      </c>
      <c r="K52" s="6">
        <f>=(F52*((1+Parametros!$C$8)^MAX(0,($A52-1))))</f>
        <v>54.9</v>
      </c>
      <c r="L52" s="6">
        <f>=(G52*J52)</f>
        <v>6000</v>
      </c>
      <c r="M52" s="6">
        <f>=(K52*J52)</f>
        <v>6588</v>
      </c>
      <c r="N52" s="6">
        <f>=(L52-M52)</f>
        <v>-588</v>
      </c>
      <c r="O52" s="17">
        <v>0</v>
      </c>
      <c r="P52" s="21">
        <f>=Capacidad!$F$52</f>
        <v>0</v>
      </c>
      <c r="Q52" s="17">
        <v>1</v>
      </c>
      <c r="R52" s="23" t="str">
        <f>=IF(I52&lt;H52-0.000001,"LIMITADA","")</f>
        <v/>
      </c>
    </row>
    <row r="53">
      <c r="A53" s="17">
        <v>4</v>
      </c>
      <c r="B53" s="17" t="str">
        <v>Prótesis</v>
      </c>
      <c r="C53" s="14">
        <v>193.63333333333333</v>
      </c>
      <c r="D53" s="25">
        <v>15</v>
      </c>
      <c r="E53" s="25">
        <v>0</v>
      </c>
      <c r="F53" s="14">
        <v>212.61</v>
      </c>
      <c r="G53" s="6">
        <f>=(C53*((1+Parametros!$C$10)^MAX(0,($A53-1))))</f>
        <v>193.63333333333333</v>
      </c>
      <c r="H53" s="6">
        <f>=IF(($A53&gt;=Q53),(D53*((1+Parametros!$C$11)^MAX(0,($A53-Q53)))),0)</f>
        <v>15</v>
      </c>
      <c r="I53" s="6">
        <f>=Capacidad!$E$53</f>
        <v>15</v>
      </c>
      <c r="J53" s="6">
        <f>=(I53*12)</f>
        <v>180</v>
      </c>
      <c r="K53" s="6">
        <f>=(F53*((1+Parametros!$C$8)^MAX(0,($A53-1))))</f>
        <v>212.61</v>
      </c>
      <c r="L53" s="6">
        <f>=(G53*J53)</f>
        <v>34854</v>
      </c>
      <c r="M53" s="6">
        <f>=(K53*J53)</f>
        <v>38269.8</v>
      </c>
      <c r="N53" s="6">
        <f>=(L53-M53)</f>
        <v>-3415.800000000003</v>
      </c>
      <c r="O53" s="17">
        <v>0</v>
      </c>
      <c r="P53" s="21">
        <f>=Capacidad!$F$53</f>
        <v>0</v>
      </c>
      <c r="Q53" s="17">
        <v>1</v>
      </c>
      <c r="R53" s="23" t="str">
        <f>=IF(I53&lt;H53-0.000001,"LIMITADA","")</f>
        <v/>
      </c>
    </row>
    <row r="54">
      <c r="A54" s="17">
        <v>4</v>
      </c>
      <c r="B54" s="17" t="str">
        <v>Exodoncia</v>
      </c>
      <c r="C54" s="14">
        <v>124.16666666666667</v>
      </c>
      <c r="D54" s="25">
        <v>10</v>
      </c>
      <c r="E54" s="25">
        <v>0</v>
      </c>
      <c r="F54" s="14">
        <v>136.33</v>
      </c>
      <c r="G54" s="6">
        <f>=(C54*((1+Parametros!$C$10)^MAX(0,($A54-1))))</f>
        <v>124.16666666666667</v>
      </c>
      <c r="H54" s="6">
        <f>=IF(($A54&gt;=Q54),(D54*((1+Parametros!$C$11)^MAX(0,($A54-Q54)))),0)</f>
        <v>10</v>
      </c>
      <c r="I54" s="6">
        <f>=Capacidad!$E$54</f>
        <v>10</v>
      </c>
      <c r="J54" s="6">
        <f>=(I54*12)</f>
        <v>120</v>
      </c>
      <c r="K54" s="6">
        <f>=(F54*((1+Parametros!$C$8)^MAX(0,($A54-1))))</f>
        <v>136.33</v>
      </c>
      <c r="L54" s="6">
        <f>=(G54*J54)</f>
        <v>14900</v>
      </c>
      <c r="M54" s="6">
        <f>=(K54*J54)</f>
        <v>16359.600000000002</v>
      </c>
      <c r="N54" s="6">
        <f>=(L54-M54)</f>
        <v>-1459.6000000000022</v>
      </c>
      <c r="O54" s="17">
        <v>0</v>
      </c>
      <c r="P54" s="21">
        <f>=Capacidad!$F$54</f>
        <v>0</v>
      </c>
      <c r="Q54" s="17">
        <v>1</v>
      </c>
      <c r="R54" s="23" t="str">
        <f>=IF(I54&lt;H54-0.000001,"LIMITADA","")</f>
        <v/>
      </c>
    </row>
    <row r="55">
      <c r="A55" s="17">
        <v>4</v>
      </c>
      <c r="B55" s="17" t="str">
        <v>Resedimentado de corona</v>
      </c>
      <c r="C55" s="14">
        <v>25</v>
      </c>
      <c r="D55" s="25">
        <v>5</v>
      </c>
      <c r="E55" s="25">
        <v>0</v>
      </c>
      <c r="F55" s="14">
        <v>27.45</v>
      </c>
      <c r="G55" s="6">
        <f>=(C55*((1+Parametros!$C$10)^MAX(0,($A55-1))))</f>
        <v>25</v>
      </c>
      <c r="H55" s="6">
        <f>=IF(($A55&gt;=Q55),(D55*((1+Parametros!$C$11)^MAX(0,($A55-Q55)))),0)</f>
        <v>5</v>
      </c>
      <c r="I55" s="6">
        <f>=Capacidad!$E$55</f>
        <v>5</v>
      </c>
      <c r="J55" s="6">
        <f>=(I55*12)</f>
        <v>60</v>
      </c>
      <c r="K55" s="6">
        <f>=(F55*((1+Parametros!$C$8)^MAX(0,($A55-1))))</f>
        <v>27.45</v>
      </c>
      <c r="L55" s="6">
        <f>=(G55*J55)</f>
        <v>1500</v>
      </c>
      <c r="M55" s="6">
        <f>=(K55*J55)</f>
        <v>1647</v>
      </c>
      <c r="N55" s="6">
        <f>=(L55-M55)</f>
        <v>-147</v>
      </c>
      <c r="O55" s="17">
        <v>0</v>
      </c>
      <c r="P55" s="21">
        <f>=Capacidad!$F$55</f>
        <v>0</v>
      </c>
      <c r="Q55" s="17">
        <v>1</v>
      </c>
      <c r="R55" s="23" t="str">
        <f>=IF(I55&lt;H55-0.000001,"LIMITADA","")</f>
        <v/>
      </c>
    </row>
    <row r="56">
      <c r="A56" s="17">
        <v>4</v>
      </c>
      <c r="B56" s="17" t="str">
        <v>Corona y espiga acrílica</v>
      </c>
      <c r="C56" s="14">
        <v>80</v>
      </c>
      <c r="D56" s="25">
        <v>5</v>
      </c>
      <c r="E56" s="25">
        <v>0</v>
      </c>
      <c r="F56" s="14">
        <v>87.84</v>
      </c>
      <c r="G56" s="6">
        <f>=(C56*((1+Parametros!$C$10)^MAX(0,($A56-1))))</f>
        <v>80</v>
      </c>
      <c r="H56" s="6">
        <f>=IF(($A56&gt;=Q56),(D56*((1+Parametros!$C$11)^MAX(0,($A56-Q56)))),0)</f>
        <v>5</v>
      </c>
      <c r="I56" s="6">
        <f>=Capacidad!$E$56</f>
        <v>5</v>
      </c>
      <c r="J56" s="6">
        <f>=(I56*12)</f>
        <v>60</v>
      </c>
      <c r="K56" s="6">
        <f>=(F56*((1+Parametros!$C$8)^MAX(0,($A56-1))))</f>
        <v>87.84</v>
      </c>
      <c r="L56" s="6">
        <f>=(G56*J56)</f>
        <v>4800</v>
      </c>
      <c r="M56" s="6">
        <f>=(K56*J56)</f>
        <v>5270.400000000001</v>
      </c>
      <c r="N56" s="6">
        <f>=(L56-M56)</f>
        <v>-470.40000000000055</v>
      </c>
      <c r="O56" s="17">
        <v>0</v>
      </c>
      <c r="P56" s="21">
        <f>=Capacidad!$F$56</f>
        <v>0</v>
      </c>
      <c r="Q56" s="17">
        <v>1</v>
      </c>
      <c r="R56" s="23" t="str">
        <f>=IF(I56&lt;H56-0.000001,"LIMITADA","")</f>
        <v/>
      </c>
    </row>
    <row r="57">
      <c r="A57" s="17">
        <v>4</v>
      </c>
      <c r="B57" s="17" t="str">
        <v>Pulpotomía</v>
      </c>
      <c r="C57" s="14">
        <v>30</v>
      </c>
      <c r="D57" s="25">
        <v>3</v>
      </c>
      <c r="E57" s="25">
        <v>0</v>
      </c>
      <c r="F57" s="14">
        <v>32.94</v>
      </c>
      <c r="G57" s="6">
        <f>=(C57*((1+Parametros!$C$10)^MAX(0,($A57-1))))</f>
        <v>30</v>
      </c>
      <c r="H57" s="6">
        <f>=IF(($A57&gt;=Q57),(D57*((1+Parametros!$C$11)^MAX(0,($A57-Q57)))),0)</f>
        <v>3</v>
      </c>
      <c r="I57" s="6">
        <f>=Capacidad!$E$57</f>
        <v>3</v>
      </c>
      <c r="J57" s="6">
        <f>=(I57*12)</f>
        <v>36</v>
      </c>
      <c r="K57" s="6">
        <f>=(F57*((1+Parametros!$C$8)^MAX(0,($A57-1))))</f>
        <v>32.94</v>
      </c>
      <c r="L57" s="6">
        <f>=(G57*J57)</f>
        <v>1080</v>
      </c>
      <c r="M57" s="6">
        <f>=(K57*J57)</f>
        <v>1185.84</v>
      </c>
      <c r="N57" s="6">
        <f>=(L57-M57)</f>
        <v>-105.83999999999992</v>
      </c>
      <c r="O57" s="17">
        <v>0</v>
      </c>
      <c r="P57" s="21">
        <f>=Capacidad!$F$57</f>
        <v>0</v>
      </c>
      <c r="Q57" s="17">
        <v>1</v>
      </c>
      <c r="R57" s="23" t="str">
        <f>=IF(I57&lt;H57-0.000001,"LIMITADA","")</f>
        <v/>
      </c>
    </row>
    <row r="58">
      <c r="A58" s="17">
        <v>4</v>
      </c>
      <c r="B58" s="17" t="str">
        <v>Drenaje de absceso</v>
      </c>
      <c r="C58" s="14">
        <v>30</v>
      </c>
      <c r="D58" s="25">
        <v>5</v>
      </c>
      <c r="E58" s="25">
        <v>0</v>
      </c>
      <c r="F58" s="14">
        <v>32.94</v>
      </c>
      <c r="G58" s="6">
        <f>=(C58*((1+Parametros!$C$10)^MAX(0,($A58-1))))</f>
        <v>30</v>
      </c>
      <c r="H58" s="6">
        <f>=IF(($A58&gt;=Q58),(D58*((1+Parametros!$C$11)^MAX(0,($A58-Q58)))),0)</f>
        <v>5</v>
      </c>
      <c r="I58" s="6">
        <f>=Capacidad!$E$58</f>
        <v>5</v>
      </c>
      <c r="J58" s="6">
        <f>=(I58*12)</f>
        <v>60</v>
      </c>
      <c r="K58" s="6">
        <f>=(F58*((1+Parametros!$C$8)^MAX(0,($A58-1))))</f>
        <v>32.94</v>
      </c>
      <c r="L58" s="6">
        <f>=(G58*J58)</f>
        <v>1800</v>
      </c>
      <c r="M58" s="6">
        <f>=(K58*J58)</f>
        <v>1976.3999999999999</v>
      </c>
      <c r="N58" s="6">
        <f>=(L58-M58)</f>
        <v>-176.39999999999986</v>
      </c>
      <c r="O58" s="17">
        <v>0</v>
      </c>
      <c r="P58" s="21">
        <f>=Capacidad!$F$58</f>
        <v>0</v>
      </c>
      <c r="Q58" s="17">
        <v>1</v>
      </c>
      <c r="R58" s="23" t="str">
        <f>=IF(I58&lt;H58-0.000001,"LIMITADA","")</f>
        <v/>
      </c>
    </row>
    <row r="59">
      <c r="A59" s="17">
        <v>4</v>
      </c>
      <c r="B59" s="17" t="str">
        <v>Reparación de prótesis</v>
      </c>
      <c r="C59" s="14">
        <v>20</v>
      </c>
      <c r="D59" s="25">
        <v>5</v>
      </c>
      <c r="E59" s="25">
        <v>0</v>
      </c>
      <c r="F59" s="14">
        <v>21.96</v>
      </c>
      <c r="G59" s="6">
        <f>=(C59*((1+Parametros!$C$10)^MAX(0,($A59-1))))</f>
        <v>20</v>
      </c>
      <c r="H59" s="6">
        <f>=IF(($A59&gt;=Q59),(D59*((1+Parametros!$C$11)^MAX(0,($A59-Q59)))),0)</f>
        <v>5</v>
      </c>
      <c r="I59" s="6">
        <f>=Capacidad!$E$59</f>
        <v>5</v>
      </c>
      <c r="J59" s="6">
        <f>=(I59*12)</f>
        <v>60</v>
      </c>
      <c r="K59" s="6">
        <f>=(F59*((1+Parametros!$C$8)^MAX(0,($A59-1))))</f>
        <v>21.96</v>
      </c>
      <c r="L59" s="6">
        <f>=(G59*J59)</f>
        <v>1200</v>
      </c>
      <c r="M59" s="6">
        <f>=(K59*J59)</f>
        <v>1317.6000000000001</v>
      </c>
      <c r="N59" s="6">
        <f>=(L59-M59)</f>
        <v>-117.60000000000014</v>
      </c>
      <c r="O59" s="17">
        <v>0</v>
      </c>
      <c r="P59" s="21">
        <f>=Capacidad!$F$59</f>
        <v>0</v>
      </c>
      <c r="Q59" s="17">
        <v>1</v>
      </c>
      <c r="R59" s="23" t="str">
        <f>=IF(I59&lt;H59-0.000001,"LIMITADA","")</f>
        <v/>
      </c>
    </row>
    <row r="60">
      <c r="A60" s="17">
        <v>4</v>
      </c>
      <c r="B60" s="17" t="str">
        <v>Cura de óxido de zinc</v>
      </c>
      <c r="C60" s="14">
        <v>25</v>
      </c>
      <c r="D60" s="25">
        <v>25</v>
      </c>
      <c r="E60" s="25">
        <v>0</v>
      </c>
      <c r="F60" s="14">
        <v>27.45</v>
      </c>
      <c r="G60" s="6">
        <f>=(C60*((1+Parametros!$C$10)^MAX(0,($A60-1))))</f>
        <v>25</v>
      </c>
      <c r="H60" s="6">
        <f>=IF(($A60&gt;=Q60),(D60*((1+Parametros!$C$11)^MAX(0,($A60-Q60)))),0)</f>
        <v>25</v>
      </c>
      <c r="I60" s="6">
        <f>=Capacidad!$E$60</f>
        <v>25</v>
      </c>
      <c r="J60" s="6">
        <f>=(I60*12)</f>
        <v>300</v>
      </c>
      <c r="K60" s="6">
        <f>=(F60*((1+Parametros!$C$8)^MAX(0,($A60-1))))</f>
        <v>27.45</v>
      </c>
      <c r="L60" s="6">
        <f>=(G60*J60)</f>
        <v>7500</v>
      </c>
      <c r="M60" s="6">
        <f>=(K60*J60)</f>
        <v>8235</v>
      </c>
      <c r="N60" s="6">
        <f>=(L60-M60)</f>
        <v>-735</v>
      </c>
      <c r="O60" s="17">
        <v>0</v>
      </c>
      <c r="P60" s="21">
        <f>=Capacidad!$F$60</f>
        <v>0</v>
      </c>
      <c r="Q60" s="17">
        <v>1</v>
      </c>
      <c r="R60" s="23" t="str">
        <f>=IF(I60&lt;H60-0.000001,"LIMITADA","")</f>
        <v/>
      </c>
    </row>
    <row r="61">
      <c r="A61" s="17">
        <v>4</v>
      </c>
      <c r="B61" s="17" t="str">
        <v>Radiografía</v>
      </c>
      <c r="C61" s="14">
        <v>15</v>
      </c>
      <c r="D61" s="25">
        <v>30</v>
      </c>
      <c r="E61" s="25">
        <v>0</v>
      </c>
      <c r="F61" s="14">
        <v>16.47</v>
      </c>
      <c r="G61" s="6">
        <f>=(C61*((1+Parametros!$C$10)^MAX(0,($A61-1))))</f>
        <v>15</v>
      </c>
      <c r="H61" s="6">
        <f>=IF(($A61&gt;=Q61),(D61*((1+Parametros!$C$11)^MAX(0,($A61-Q61)))),0)</f>
        <v>30</v>
      </c>
      <c r="I61" s="6">
        <f>=Capacidad!$E$61</f>
        <v>30</v>
      </c>
      <c r="J61" s="6">
        <f>=(I61*12)</f>
        <v>360</v>
      </c>
      <c r="K61" s="6">
        <f>=(F61*((1+Parametros!$C$8)^MAX(0,($A61-1))))</f>
        <v>16.47</v>
      </c>
      <c r="L61" s="6">
        <f>=(G61*J61)</f>
        <v>5400</v>
      </c>
      <c r="M61" s="6">
        <f>=(K61*J61)</f>
        <v>5929.2</v>
      </c>
      <c r="N61" s="6">
        <f>=(L61-M61)</f>
        <v>-529.1999999999998</v>
      </c>
      <c r="O61" s="17">
        <v>0</v>
      </c>
      <c r="P61" s="21">
        <f>=Capacidad!$F$61</f>
        <v>0</v>
      </c>
      <c r="Q61" s="17">
        <v>1</v>
      </c>
      <c r="R61" s="23" t="str">
        <f>=IF(I61&lt;H61-0.000001,"LIMITADA","")</f>
        <v/>
      </c>
    </row>
    <row r="62">
      <c r="A62" s="17">
        <v>4</v>
      </c>
      <c r="B62" s="17" t="str">
        <v>Corona acrílica</v>
      </c>
      <c r="C62" s="14">
        <v>80</v>
      </c>
      <c r="D62" s="25">
        <v>10</v>
      </c>
      <c r="E62" s="25">
        <v>0</v>
      </c>
      <c r="F62" s="14">
        <v>87.84</v>
      </c>
      <c r="G62" s="6">
        <f>=(C62*((1+Parametros!$C$10)^MAX(0,($A62-1))))</f>
        <v>80</v>
      </c>
      <c r="H62" s="6">
        <f>=IF(($A62&gt;=Q62),(D62*((1+Parametros!$C$11)^MAX(0,($A62-Q62)))),0)</f>
        <v>10</v>
      </c>
      <c r="I62" s="6">
        <f>=Capacidad!$E$62</f>
        <v>10</v>
      </c>
      <c r="J62" s="6">
        <f>=(I62*12)</f>
        <v>120</v>
      </c>
      <c r="K62" s="6">
        <f>=(F62*((1+Parametros!$C$8)^MAX(0,($A62-1))))</f>
        <v>87.84</v>
      </c>
      <c r="L62" s="6">
        <f>=(G62*J62)</f>
        <v>9600</v>
      </c>
      <c r="M62" s="6">
        <f>=(K62*J62)</f>
        <v>10540.800000000001</v>
      </c>
      <c r="N62" s="6">
        <f>=(L62-M62)</f>
        <v>-940.8000000000011</v>
      </c>
      <c r="O62" s="17">
        <v>0</v>
      </c>
      <c r="P62" s="21">
        <f>=Capacidad!$F$62</f>
        <v>0</v>
      </c>
      <c r="Q62" s="17">
        <v>1</v>
      </c>
      <c r="R62" s="23" t="str">
        <f>=IF(I62&lt;H62-0.000001,"LIMITADA","")</f>
        <v/>
      </c>
    </row>
    <row r="63">
      <c r="A63" s="17">
        <v>4</v>
      </c>
      <c r="B63" s="17" t="str">
        <v>Blanqueamientos</v>
      </c>
      <c r="C63" s="14">
        <v>150</v>
      </c>
      <c r="D63" s="25">
        <v>10</v>
      </c>
      <c r="E63" s="25">
        <v>0</v>
      </c>
      <c r="F63" s="14">
        <v>164.7</v>
      </c>
      <c r="G63" s="6">
        <f>=(C63*((1+Parametros!$C$10)^MAX(0,($A63-1))))</f>
        <v>150</v>
      </c>
      <c r="H63" s="6">
        <f>=IF(($A63&gt;=Q63),(D63*((1+Parametros!$C$11)^MAX(0,($A63-Q63)))),0)</f>
        <v>10</v>
      </c>
      <c r="I63" s="6">
        <f>=Capacidad!$E$63</f>
        <v>10</v>
      </c>
      <c r="J63" s="6">
        <f>=(I63*12)</f>
        <v>120</v>
      </c>
      <c r="K63" s="6">
        <f>=(F63*((1+Parametros!$C$8)^MAX(0,($A63-1))))</f>
        <v>164.7</v>
      </c>
      <c r="L63" s="6">
        <f>=(G63*J63)</f>
        <v>18000</v>
      </c>
      <c r="M63" s="6">
        <f>=(K63*J63)</f>
        <v>19764</v>
      </c>
      <c r="N63" s="6">
        <f>=(L63-M63)</f>
        <v>-1764</v>
      </c>
      <c r="O63" s="17">
        <v>0</v>
      </c>
      <c r="P63" s="21">
        <f>=Capacidad!$F$63</f>
        <v>0</v>
      </c>
      <c r="Q63" s="17">
        <v>1</v>
      </c>
      <c r="R63" s="23" t="str">
        <f>=IF(I63&lt;H63-0.000001,"LIMITADA","")</f>
        <v/>
      </c>
    </row>
    <row r="64">
      <c r="A64" s="17">
        <v>5</v>
      </c>
      <c r="B64" s="17" t="str">
        <v>Tratamientos pulporadiculares (TPR)</v>
      </c>
      <c r="C64" s="14">
        <v>80</v>
      </c>
      <c r="D64" s="25">
        <v>3</v>
      </c>
      <c r="E64" s="25">
        <v>0</v>
      </c>
      <c r="F64" s="14">
        <v>87.84</v>
      </c>
      <c r="G64" s="6">
        <f>=(C64*((1+Parametros!$C$10)^MAX(0,($A64-1))))</f>
        <v>80</v>
      </c>
      <c r="H64" s="6">
        <f>=IF(($A64&gt;=Q64),(D64*((1+Parametros!$C$11)^MAX(0,($A64-Q64)))),0)</f>
        <v>3</v>
      </c>
      <c r="I64" s="6">
        <f>=Capacidad!$E$64</f>
        <v>3</v>
      </c>
      <c r="J64" s="6">
        <f>=(I64*12)</f>
        <v>36</v>
      </c>
      <c r="K64" s="6">
        <f>=(F64*((1+Parametros!$C$8)^MAX(0,($A64-1))))</f>
        <v>87.84</v>
      </c>
      <c r="L64" s="6">
        <f>=(G64*J64)</f>
        <v>2880</v>
      </c>
      <c r="M64" s="6">
        <f>=(K64*J64)</f>
        <v>3162.2400000000002</v>
      </c>
      <c r="N64" s="6">
        <f>=(L64-M64)</f>
        <v>-282.24000000000024</v>
      </c>
      <c r="O64" s="17">
        <v>0</v>
      </c>
      <c r="P64" s="21">
        <f>=Capacidad!$F$64</f>
        <v>0</v>
      </c>
      <c r="Q64" s="17">
        <v>1</v>
      </c>
      <c r="R64" s="23" t="str">
        <f>=IF(I64&lt;H64-0.000001,"LIMITADA","")</f>
        <v/>
      </c>
    </row>
    <row r="65">
      <c r="A65" s="17">
        <v>5</v>
      </c>
      <c r="B65" s="17" t="str">
        <v>Obturaciones de resina</v>
      </c>
      <c r="C65" s="14">
        <v>20</v>
      </c>
      <c r="D65" s="25">
        <v>15</v>
      </c>
      <c r="E65" s="25">
        <v>0</v>
      </c>
      <c r="F65" s="14">
        <v>21.96</v>
      </c>
      <c r="G65" s="6">
        <f>=(C65*((1+Parametros!$C$10)^MAX(0,($A65-1))))</f>
        <v>20</v>
      </c>
      <c r="H65" s="6">
        <f>=IF(($A65&gt;=Q65),(D65*((1+Parametros!$C$11)^MAX(0,($A65-Q65)))),0)</f>
        <v>15</v>
      </c>
      <c r="I65" s="6">
        <f>=Capacidad!$E$65</f>
        <v>15</v>
      </c>
      <c r="J65" s="6">
        <f>=(I65*12)</f>
        <v>180</v>
      </c>
      <c r="K65" s="6">
        <f>=(F65*((1+Parametros!$C$8)^MAX(0,($A65-1))))</f>
        <v>21.96</v>
      </c>
      <c r="L65" s="6">
        <f>=(G65*J65)</f>
        <v>3600</v>
      </c>
      <c r="M65" s="6">
        <f>=(K65*J65)</f>
        <v>3952.8</v>
      </c>
      <c r="N65" s="6">
        <f>=(L65-M65)</f>
        <v>-352.8000000000002</v>
      </c>
      <c r="O65" s="17">
        <v>0</v>
      </c>
      <c r="P65" s="21">
        <f>=Capacidad!$F$65</f>
        <v>0</v>
      </c>
      <c r="Q65" s="17">
        <v>1</v>
      </c>
      <c r="R65" s="23" t="str">
        <f>=IF(I65&lt;H65-0.000001,"LIMITADA","")</f>
        <v/>
      </c>
    </row>
    <row r="66">
      <c r="A66" s="17">
        <v>5</v>
      </c>
      <c r="B66" s="17" t="str">
        <v>Obturaciones de amalgamas</v>
      </c>
      <c r="C66" s="14">
        <v>15</v>
      </c>
      <c r="D66" s="25">
        <v>15</v>
      </c>
      <c r="E66" s="25">
        <v>0</v>
      </c>
      <c r="F66" s="14">
        <v>16.47</v>
      </c>
      <c r="G66" s="6">
        <f>=(C66*((1+Parametros!$C$10)^MAX(0,($A66-1))))</f>
        <v>15</v>
      </c>
      <c r="H66" s="6">
        <f>=IF(($A66&gt;=Q66),(D66*((1+Parametros!$C$11)^MAX(0,($A66-Q66)))),0)</f>
        <v>15</v>
      </c>
      <c r="I66" s="6">
        <f>=Capacidad!$E$66</f>
        <v>15</v>
      </c>
      <c r="J66" s="6">
        <f>=(I66*12)</f>
        <v>180</v>
      </c>
      <c r="K66" s="6">
        <f>=(F66*((1+Parametros!$C$8)^MAX(0,($A66-1))))</f>
        <v>16.47</v>
      </c>
      <c r="L66" s="6">
        <f>=(G66*J66)</f>
        <v>2700</v>
      </c>
      <c r="M66" s="6">
        <f>=(K66*J66)</f>
        <v>2964.6</v>
      </c>
      <c r="N66" s="6">
        <f>=(L66-M66)</f>
        <v>-264.5999999999999</v>
      </c>
      <c r="O66" s="17">
        <v>0</v>
      </c>
      <c r="P66" s="21">
        <f>=Capacidad!$F$66</f>
        <v>0</v>
      </c>
      <c r="Q66" s="17">
        <v>1</v>
      </c>
      <c r="R66" s="23" t="str">
        <f>=IF(I66&lt;H66-0.000001,"LIMITADA","")</f>
        <v/>
      </c>
    </row>
    <row r="67">
      <c r="A67" s="17">
        <v>5</v>
      </c>
      <c r="B67" s="17" t="str">
        <v>Profilaxis con ultrasonido</v>
      </c>
      <c r="C67" s="14">
        <v>50</v>
      </c>
      <c r="D67" s="25">
        <v>10</v>
      </c>
      <c r="E67" s="25">
        <v>0</v>
      </c>
      <c r="F67" s="14">
        <v>54.9</v>
      </c>
      <c r="G67" s="6">
        <f>=(C67*((1+Parametros!$C$10)^MAX(0,($A67-1))))</f>
        <v>50</v>
      </c>
      <c r="H67" s="6">
        <f>=IF(($A67&gt;=Q67),(D67*((1+Parametros!$C$11)^MAX(0,($A67-Q67)))),0)</f>
        <v>10</v>
      </c>
      <c r="I67" s="6">
        <f>=Capacidad!$E$67</f>
        <v>10</v>
      </c>
      <c r="J67" s="6">
        <f>=(I67*12)</f>
        <v>120</v>
      </c>
      <c r="K67" s="6">
        <f>=(F67*((1+Parametros!$C$8)^MAX(0,($A67-1))))</f>
        <v>54.9</v>
      </c>
      <c r="L67" s="6">
        <f>=(G67*J67)</f>
        <v>6000</v>
      </c>
      <c r="M67" s="6">
        <f>=(K67*J67)</f>
        <v>6588</v>
      </c>
      <c r="N67" s="6">
        <f>=(L67-M67)</f>
        <v>-588</v>
      </c>
      <c r="O67" s="17">
        <v>0</v>
      </c>
      <c r="P67" s="21">
        <f>=Capacidad!$F$67</f>
        <v>0</v>
      </c>
      <c r="Q67" s="17">
        <v>1</v>
      </c>
      <c r="R67" s="23" t="str">
        <f>=IF(I67&lt;H67-0.000001,"LIMITADA","")</f>
        <v/>
      </c>
    </row>
    <row r="68">
      <c r="A68" s="17">
        <v>5</v>
      </c>
      <c r="B68" s="17" t="str">
        <v>Prótesis</v>
      </c>
      <c r="C68" s="14">
        <v>193.63333333333333</v>
      </c>
      <c r="D68" s="25">
        <v>15</v>
      </c>
      <c r="E68" s="25">
        <v>0</v>
      </c>
      <c r="F68" s="14">
        <v>212.61</v>
      </c>
      <c r="G68" s="6">
        <f>=(C68*((1+Parametros!$C$10)^MAX(0,($A68-1))))</f>
        <v>193.63333333333333</v>
      </c>
      <c r="H68" s="6">
        <f>=IF(($A68&gt;=Q68),(D68*((1+Parametros!$C$11)^MAX(0,($A68-Q68)))),0)</f>
        <v>15</v>
      </c>
      <c r="I68" s="6">
        <f>=Capacidad!$E$68</f>
        <v>15</v>
      </c>
      <c r="J68" s="6">
        <f>=(I68*12)</f>
        <v>180</v>
      </c>
      <c r="K68" s="6">
        <f>=(F68*((1+Parametros!$C$8)^MAX(0,($A68-1))))</f>
        <v>212.61</v>
      </c>
      <c r="L68" s="6">
        <f>=(G68*J68)</f>
        <v>34854</v>
      </c>
      <c r="M68" s="6">
        <f>=(K68*J68)</f>
        <v>38269.8</v>
      </c>
      <c r="N68" s="6">
        <f>=(L68-M68)</f>
        <v>-3415.800000000003</v>
      </c>
      <c r="O68" s="17">
        <v>0</v>
      </c>
      <c r="P68" s="21">
        <f>=Capacidad!$F$68</f>
        <v>0</v>
      </c>
      <c r="Q68" s="17">
        <v>1</v>
      </c>
      <c r="R68" s="23" t="str">
        <f>=IF(I68&lt;H68-0.000001,"LIMITADA","")</f>
        <v/>
      </c>
    </row>
    <row r="69">
      <c r="A69" s="17">
        <v>5</v>
      </c>
      <c r="B69" s="17" t="str">
        <v>Exodoncia</v>
      </c>
      <c r="C69" s="14">
        <v>124.16666666666667</v>
      </c>
      <c r="D69" s="25">
        <v>10</v>
      </c>
      <c r="E69" s="25">
        <v>0</v>
      </c>
      <c r="F69" s="14">
        <v>136.33</v>
      </c>
      <c r="G69" s="6">
        <f>=(C69*((1+Parametros!$C$10)^MAX(0,($A69-1))))</f>
        <v>124.16666666666667</v>
      </c>
      <c r="H69" s="6">
        <f>=IF(($A69&gt;=Q69),(D69*((1+Parametros!$C$11)^MAX(0,($A69-Q69)))),0)</f>
        <v>10</v>
      </c>
      <c r="I69" s="6">
        <f>=Capacidad!$E$69</f>
        <v>10</v>
      </c>
      <c r="J69" s="6">
        <f>=(I69*12)</f>
        <v>120</v>
      </c>
      <c r="K69" s="6">
        <f>=(F69*((1+Parametros!$C$8)^MAX(0,($A69-1))))</f>
        <v>136.33</v>
      </c>
      <c r="L69" s="6">
        <f>=(G69*J69)</f>
        <v>14900</v>
      </c>
      <c r="M69" s="6">
        <f>=(K69*J69)</f>
        <v>16359.600000000002</v>
      </c>
      <c r="N69" s="6">
        <f>=(L69-M69)</f>
        <v>-1459.6000000000022</v>
      </c>
      <c r="O69" s="17">
        <v>0</v>
      </c>
      <c r="P69" s="21">
        <f>=Capacidad!$F$69</f>
        <v>0</v>
      </c>
      <c r="Q69" s="17">
        <v>1</v>
      </c>
      <c r="R69" s="23" t="str">
        <f>=IF(I69&lt;H69-0.000001,"LIMITADA","")</f>
        <v/>
      </c>
    </row>
    <row r="70">
      <c r="A70" s="17">
        <v>5</v>
      </c>
      <c r="B70" s="17" t="str">
        <v>Resedimentado de corona</v>
      </c>
      <c r="C70" s="14">
        <v>25</v>
      </c>
      <c r="D70" s="25">
        <v>5</v>
      </c>
      <c r="E70" s="25">
        <v>0</v>
      </c>
      <c r="F70" s="14">
        <v>27.45</v>
      </c>
      <c r="G70" s="6">
        <f>=(C70*((1+Parametros!$C$10)^MAX(0,($A70-1))))</f>
        <v>25</v>
      </c>
      <c r="H70" s="6">
        <f>=IF(($A70&gt;=Q70),(D70*((1+Parametros!$C$11)^MAX(0,($A70-Q70)))),0)</f>
        <v>5</v>
      </c>
      <c r="I70" s="6">
        <f>=Capacidad!$E$70</f>
        <v>5</v>
      </c>
      <c r="J70" s="6">
        <f>=(I70*12)</f>
        <v>60</v>
      </c>
      <c r="K70" s="6">
        <f>=(F70*((1+Parametros!$C$8)^MAX(0,($A70-1))))</f>
        <v>27.45</v>
      </c>
      <c r="L70" s="6">
        <f>=(G70*J70)</f>
        <v>1500</v>
      </c>
      <c r="M70" s="6">
        <f>=(K70*J70)</f>
        <v>1647</v>
      </c>
      <c r="N70" s="6">
        <f>=(L70-M70)</f>
        <v>-147</v>
      </c>
      <c r="O70" s="17">
        <v>0</v>
      </c>
      <c r="P70" s="21">
        <f>=Capacidad!$F$70</f>
        <v>0</v>
      </c>
      <c r="Q70" s="17">
        <v>1</v>
      </c>
      <c r="R70" s="23" t="str">
        <f>=IF(I70&lt;H70-0.000001,"LIMITADA","")</f>
        <v/>
      </c>
    </row>
    <row r="71">
      <c r="A71" s="17">
        <v>5</v>
      </c>
      <c r="B71" s="17" t="str">
        <v>Corona y espiga acrílica</v>
      </c>
      <c r="C71" s="14">
        <v>80</v>
      </c>
      <c r="D71" s="25">
        <v>5</v>
      </c>
      <c r="E71" s="25">
        <v>0</v>
      </c>
      <c r="F71" s="14">
        <v>87.84</v>
      </c>
      <c r="G71" s="6">
        <f>=(C71*((1+Parametros!$C$10)^MAX(0,($A71-1))))</f>
        <v>80</v>
      </c>
      <c r="H71" s="6">
        <f>=IF(($A71&gt;=Q71),(D71*((1+Parametros!$C$11)^MAX(0,($A71-Q71)))),0)</f>
        <v>5</v>
      </c>
      <c r="I71" s="6">
        <f>=Capacidad!$E$71</f>
        <v>5</v>
      </c>
      <c r="J71" s="6">
        <f>=(I71*12)</f>
        <v>60</v>
      </c>
      <c r="K71" s="6">
        <f>=(F71*((1+Parametros!$C$8)^MAX(0,($A71-1))))</f>
        <v>87.84</v>
      </c>
      <c r="L71" s="6">
        <f>=(G71*J71)</f>
        <v>4800</v>
      </c>
      <c r="M71" s="6">
        <f>=(K71*J71)</f>
        <v>5270.400000000001</v>
      </c>
      <c r="N71" s="6">
        <f>=(L71-M71)</f>
        <v>-470.40000000000055</v>
      </c>
      <c r="O71" s="17">
        <v>0</v>
      </c>
      <c r="P71" s="21">
        <f>=Capacidad!$F$71</f>
        <v>0</v>
      </c>
      <c r="Q71" s="17">
        <v>1</v>
      </c>
      <c r="R71" s="23" t="str">
        <f>=IF(I71&lt;H71-0.000001,"LIMITADA","")</f>
        <v/>
      </c>
    </row>
    <row r="72">
      <c r="A72" s="17">
        <v>5</v>
      </c>
      <c r="B72" s="17" t="str">
        <v>Pulpotomía</v>
      </c>
      <c r="C72" s="14">
        <v>30</v>
      </c>
      <c r="D72" s="25">
        <v>3</v>
      </c>
      <c r="E72" s="25">
        <v>0</v>
      </c>
      <c r="F72" s="14">
        <v>32.94</v>
      </c>
      <c r="G72" s="6">
        <f>=(C72*((1+Parametros!$C$10)^MAX(0,($A72-1))))</f>
        <v>30</v>
      </c>
      <c r="H72" s="6">
        <f>=IF(($A72&gt;=Q72),(D72*((1+Parametros!$C$11)^MAX(0,($A72-Q72)))),0)</f>
        <v>3</v>
      </c>
      <c r="I72" s="6">
        <f>=Capacidad!$E$72</f>
        <v>3</v>
      </c>
      <c r="J72" s="6">
        <f>=(I72*12)</f>
        <v>36</v>
      </c>
      <c r="K72" s="6">
        <f>=(F72*((1+Parametros!$C$8)^MAX(0,($A72-1))))</f>
        <v>32.94</v>
      </c>
      <c r="L72" s="6">
        <f>=(G72*J72)</f>
        <v>1080</v>
      </c>
      <c r="M72" s="6">
        <f>=(K72*J72)</f>
        <v>1185.84</v>
      </c>
      <c r="N72" s="6">
        <f>=(L72-M72)</f>
        <v>-105.83999999999992</v>
      </c>
      <c r="O72" s="17">
        <v>0</v>
      </c>
      <c r="P72" s="21">
        <f>=Capacidad!$F$72</f>
        <v>0</v>
      </c>
      <c r="Q72" s="17">
        <v>1</v>
      </c>
      <c r="R72" s="23" t="str">
        <f>=IF(I72&lt;H72-0.000001,"LIMITADA","")</f>
        <v/>
      </c>
    </row>
    <row r="73">
      <c r="A73" s="17">
        <v>5</v>
      </c>
      <c r="B73" s="17" t="str">
        <v>Drenaje de absceso</v>
      </c>
      <c r="C73" s="14">
        <v>30</v>
      </c>
      <c r="D73" s="25">
        <v>5</v>
      </c>
      <c r="E73" s="25">
        <v>0</v>
      </c>
      <c r="F73" s="14">
        <v>32.94</v>
      </c>
      <c r="G73" s="6">
        <f>=(C73*((1+Parametros!$C$10)^MAX(0,($A73-1))))</f>
        <v>30</v>
      </c>
      <c r="H73" s="6">
        <f>=IF(($A73&gt;=Q73),(D73*((1+Parametros!$C$11)^MAX(0,($A73-Q73)))),0)</f>
        <v>5</v>
      </c>
      <c r="I73" s="6">
        <f>=Capacidad!$E$73</f>
        <v>5</v>
      </c>
      <c r="J73" s="6">
        <f>=(I73*12)</f>
        <v>60</v>
      </c>
      <c r="K73" s="6">
        <f>=(F73*((1+Parametros!$C$8)^MAX(0,($A73-1))))</f>
        <v>32.94</v>
      </c>
      <c r="L73" s="6">
        <f>=(G73*J73)</f>
        <v>1800</v>
      </c>
      <c r="M73" s="6">
        <f>=(K73*J73)</f>
        <v>1976.3999999999999</v>
      </c>
      <c r="N73" s="6">
        <f>=(L73-M73)</f>
        <v>-176.39999999999986</v>
      </c>
      <c r="O73" s="17">
        <v>0</v>
      </c>
      <c r="P73" s="21">
        <f>=Capacidad!$F$73</f>
        <v>0</v>
      </c>
      <c r="Q73" s="17">
        <v>1</v>
      </c>
      <c r="R73" s="23" t="str">
        <f>=IF(I73&lt;H73-0.000001,"LIMITADA","")</f>
        <v/>
      </c>
    </row>
    <row r="74">
      <c r="A74" s="17">
        <v>5</v>
      </c>
      <c r="B74" s="17" t="str">
        <v>Reparación de prótesis</v>
      </c>
      <c r="C74" s="14">
        <v>20</v>
      </c>
      <c r="D74" s="25">
        <v>5</v>
      </c>
      <c r="E74" s="25">
        <v>0</v>
      </c>
      <c r="F74" s="14">
        <v>21.96</v>
      </c>
      <c r="G74" s="6">
        <f>=(C74*((1+Parametros!$C$10)^MAX(0,($A74-1))))</f>
        <v>20</v>
      </c>
      <c r="H74" s="6">
        <f>=IF(($A74&gt;=Q74),(D74*((1+Parametros!$C$11)^MAX(0,($A74-Q74)))),0)</f>
        <v>5</v>
      </c>
      <c r="I74" s="6">
        <f>=Capacidad!$E$74</f>
        <v>5</v>
      </c>
      <c r="J74" s="6">
        <f>=(I74*12)</f>
        <v>60</v>
      </c>
      <c r="K74" s="6">
        <f>=(F74*((1+Parametros!$C$8)^MAX(0,($A74-1))))</f>
        <v>21.96</v>
      </c>
      <c r="L74" s="6">
        <f>=(G74*J74)</f>
        <v>1200</v>
      </c>
      <c r="M74" s="6">
        <f>=(K74*J74)</f>
        <v>1317.6000000000001</v>
      </c>
      <c r="N74" s="6">
        <f>=(L74-M74)</f>
        <v>-117.60000000000014</v>
      </c>
      <c r="O74" s="17">
        <v>0</v>
      </c>
      <c r="P74" s="21">
        <f>=Capacidad!$F$74</f>
        <v>0</v>
      </c>
      <c r="Q74" s="17">
        <v>1</v>
      </c>
      <c r="R74" s="23" t="str">
        <f>=IF(I74&lt;H74-0.000001,"LIMITADA","")</f>
        <v/>
      </c>
    </row>
    <row r="75">
      <c r="A75" s="17">
        <v>5</v>
      </c>
      <c r="B75" s="17" t="str">
        <v>Cura de óxido de zinc</v>
      </c>
      <c r="C75" s="14">
        <v>25</v>
      </c>
      <c r="D75" s="25">
        <v>25</v>
      </c>
      <c r="E75" s="25">
        <v>0</v>
      </c>
      <c r="F75" s="14">
        <v>27.45</v>
      </c>
      <c r="G75" s="6">
        <f>=(C75*((1+Parametros!$C$10)^MAX(0,($A75-1))))</f>
        <v>25</v>
      </c>
      <c r="H75" s="6">
        <f>=IF(($A75&gt;=Q75),(D75*((1+Parametros!$C$11)^MAX(0,($A75-Q75)))),0)</f>
        <v>25</v>
      </c>
      <c r="I75" s="6">
        <f>=Capacidad!$E$75</f>
        <v>25</v>
      </c>
      <c r="J75" s="6">
        <f>=(I75*12)</f>
        <v>300</v>
      </c>
      <c r="K75" s="6">
        <f>=(F75*((1+Parametros!$C$8)^MAX(0,($A75-1))))</f>
        <v>27.45</v>
      </c>
      <c r="L75" s="6">
        <f>=(G75*J75)</f>
        <v>7500</v>
      </c>
      <c r="M75" s="6">
        <f>=(K75*J75)</f>
        <v>8235</v>
      </c>
      <c r="N75" s="6">
        <f>=(L75-M75)</f>
        <v>-735</v>
      </c>
      <c r="O75" s="17">
        <v>0</v>
      </c>
      <c r="P75" s="21">
        <f>=Capacidad!$F$75</f>
        <v>0</v>
      </c>
      <c r="Q75" s="17">
        <v>1</v>
      </c>
      <c r="R75" s="23" t="str">
        <f>=IF(I75&lt;H75-0.000001,"LIMITADA","")</f>
        <v/>
      </c>
    </row>
    <row r="76">
      <c r="A76" s="17">
        <v>5</v>
      </c>
      <c r="B76" s="17" t="str">
        <v>Radiografía</v>
      </c>
      <c r="C76" s="14">
        <v>15</v>
      </c>
      <c r="D76" s="25">
        <v>30</v>
      </c>
      <c r="E76" s="25">
        <v>0</v>
      </c>
      <c r="F76" s="14">
        <v>16.47</v>
      </c>
      <c r="G76" s="6">
        <f>=(C76*((1+Parametros!$C$10)^MAX(0,($A76-1))))</f>
        <v>15</v>
      </c>
      <c r="H76" s="6">
        <f>=IF(($A76&gt;=Q76),(D76*((1+Parametros!$C$11)^MAX(0,($A76-Q76)))),0)</f>
        <v>30</v>
      </c>
      <c r="I76" s="6">
        <f>=Capacidad!$E$76</f>
        <v>30</v>
      </c>
      <c r="J76" s="6">
        <f>=(I76*12)</f>
        <v>360</v>
      </c>
      <c r="K76" s="6">
        <f>=(F76*((1+Parametros!$C$8)^MAX(0,($A76-1))))</f>
        <v>16.47</v>
      </c>
      <c r="L76" s="6">
        <f>=(G76*J76)</f>
        <v>5400</v>
      </c>
      <c r="M76" s="6">
        <f>=(K76*J76)</f>
        <v>5929.2</v>
      </c>
      <c r="N76" s="6">
        <f>=(L76-M76)</f>
        <v>-529.1999999999998</v>
      </c>
      <c r="O76" s="17">
        <v>0</v>
      </c>
      <c r="P76" s="21">
        <f>=Capacidad!$F$76</f>
        <v>0</v>
      </c>
      <c r="Q76" s="17">
        <v>1</v>
      </c>
      <c r="R76" s="23" t="str">
        <f>=IF(I76&lt;H76-0.000001,"LIMITADA","")</f>
        <v/>
      </c>
    </row>
    <row r="77">
      <c r="A77" s="17">
        <v>5</v>
      </c>
      <c r="B77" s="17" t="str">
        <v>Corona acrílica</v>
      </c>
      <c r="C77" s="14">
        <v>80</v>
      </c>
      <c r="D77" s="25">
        <v>10</v>
      </c>
      <c r="E77" s="25">
        <v>0</v>
      </c>
      <c r="F77" s="14">
        <v>87.84</v>
      </c>
      <c r="G77" s="6">
        <f>=(C77*((1+Parametros!$C$10)^MAX(0,($A77-1))))</f>
        <v>80</v>
      </c>
      <c r="H77" s="6">
        <f>=IF(($A77&gt;=Q77),(D77*((1+Parametros!$C$11)^MAX(0,($A77-Q77)))),0)</f>
        <v>10</v>
      </c>
      <c r="I77" s="6">
        <f>=Capacidad!$E$77</f>
        <v>10</v>
      </c>
      <c r="J77" s="6">
        <f>=(I77*12)</f>
        <v>120</v>
      </c>
      <c r="K77" s="6">
        <f>=(F77*((1+Parametros!$C$8)^MAX(0,($A77-1))))</f>
        <v>87.84</v>
      </c>
      <c r="L77" s="6">
        <f>=(G77*J77)</f>
        <v>9600</v>
      </c>
      <c r="M77" s="6">
        <f>=(K77*J77)</f>
        <v>10540.800000000001</v>
      </c>
      <c r="N77" s="6">
        <f>=(L77-M77)</f>
        <v>-940.8000000000011</v>
      </c>
      <c r="O77" s="17">
        <v>0</v>
      </c>
      <c r="P77" s="21">
        <f>=Capacidad!$F$77</f>
        <v>0</v>
      </c>
      <c r="Q77" s="17">
        <v>1</v>
      </c>
      <c r="R77" s="23" t="str">
        <f>=IF(I77&lt;H77-0.000001,"LIMITADA","")</f>
        <v/>
      </c>
    </row>
    <row r="78">
      <c r="A78" s="17">
        <v>5</v>
      </c>
      <c r="B78" s="17" t="str">
        <v>Blanqueamientos</v>
      </c>
      <c r="C78" s="14">
        <v>150</v>
      </c>
      <c r="D78" s="25">
        <v>10</v>
      </c>
      <c r="E78" s="25">
        <v>0</v>
      </c>
      <c r="F78" s="14">
        <v>164.7</v>
      </c>
      <c r="G78" s="6">
        <f>=(C78*((1+Parametros!$C$10)^MAX(0,($A78-1))))</f>
        <v>150</v>
      </c>
      <c r="H78" s="6">
        <f>=IF(($A78&gt;=Q78),(D78*((1+Parametros!$C$11)^MAX(0,($A78-Q78)))),0)</f>
        <v>10</v>
      </c>
      <c r="I78" s="6">
        <f>=Capacidad!$E$78</f>
        <v>10</v>
      </c>
      <c r="J78" s="6">
        <f>=(I78*12)</f>
        <v>120</v>
      </c>
      <c r="K78" s="6">
        <f>=(F78*((1+Parametros!$C$8)^MAX(0,($A78-1))))</f>
        <v>164.7</v>
      </c>
      <c r="L78" s="6">
        <f>=(G78*J78)</f>
        <v>18000</v>
      </c>
      <c r="M78" s="6">
        <f>=(K78*J78)</f>
        <v>19764</v>
      </c>
      <c r="N78" s="6">
        <f>=(L78-M78)</f>
        <v>-1764</v>
      </c>
      <c r="O78" s="17">
        <v>0</v>
      </c>
      <c r="P78" s="21">
        <f>=Capacidad!$F$78</f>
        <v>0</v>
      </c>
      <c r="Q78" s="17">
        <v>1</v>
      </c>
      <c r="R78" s="23" t="str">
        <f>=IF(I78&lt;H78-0.000001,"LIMITADA","")</f>
        <v/>
      </c>
    </row>
    <row r="79">
      <c r="A79" s="17">
        <v>6</v>
      </c>
      <c r="B79" s="17" t="str">
        <v>Tratamientos pulporadiculares (TPR)</v>
      </c>
      <c r="C79" s="14">
        <v>80</v>
      </c>
      <c r="D79" s="25">
        <v>3</v>
      </c>
      <c r="E79" s="25">
        <v>0</v>
      </c>
      <c r="F79" s="14">
        <v>87.84</v>
      </c>
      <c r="G79" s="6">
        <f>=(C79*((1+Parametros!$C$10)^MAX(0,($A79-1))))</f>
        <v>80</v>
      </c>
      <c r="H79" s="6">
        <f>=IF(($A79&gt;=Q79),(D79*((1+Parametros!$C$11)^MAX(0,($A79-Q79)))),0)</f>
        <v>3</v>
      </c>
      <c r="I79" s="6">
        <f>=Capacidad!$E$79</f>
        <v>3</v>
      </c>
      <c r="J79" s="6">
        <f>=(I79*12)</f>
        <v>36</v>
      </c>
      <c r="K79" s="6">
        <f>=(F79*((1+Parametros!$C$8)^MAX(0,($A79-1))))</f>
        <v>87.84</v>
      </c>
      <c r="L79" s="6">
        <f>=(G79*J79)</f>
        <v>2880</v>
      </c>
      <c r="M79" s="6">
        <f>=(K79*J79)</f>
        <v>3162.2400000000002</v>
      </c>
      <c r="N79" s="6">
        <f>=(L79-M79)</f>
        <v>-282.24000000000024</v>
      </c>
      <c r="O79" s="17">
        <v>0</v>
      </c>
      <c r="P79" s="21">
        <f>=Capacidad!$F$79</f>
        <v>0</v>
      </c>
      <c r="Q79" s="17">
        <v>1</v>
      </c>
      <c r="R79" s="23" t="str">
        <f>=IF(I79&lt;H79-0.000001,"LIMITADA","")</f>
        <v/>
      </c>
    </row>
    <row r="80">
      <c r="A80" s="17">
        <v>6</v>
      </c>
      <c r="B80" s="17" t="str">
        <v>Obturaciones de resina</v>
      </c>
      <c r="C80" s="14">
        <v>20</v>
      </c>
      <c r="D80" s="25">
        <v>15</v>
      </c>
      <c r="E80" s="25">
        <v>0</v>
      </c>
      <c r="F80" s="14">
        <v>21.96</v>
      </c>
      <c r="G80" s="6">
        <f>=(C80*((1+Parametros!$C$10)^MAX(0,($A80-1))))</f>
        <v>20</v>
      </c>
      <c r="H80" s="6">
        <f>=IF(($A80&gt;=Q80),(D80*((1+Parametros!$C$11)^MAX(0,($A80-Q80)))),0)</f>
        <v>15</v>
      </c>
      <c r="I80" s="6">
        <f>=Capacidad!$E$80</f>
        <v>15</v>
      </c>
      <c r="J80" s="6">
        <f>=(I80*12)</f>
        <v>180</v>
      </c>
      <c r="K80" s="6">
        <f>=(F80*((1+Parametros!$C$8)^MAX(0,($A80-1))))</f>
        <v>21.96</v>
      </c>
      <c r="L80" s="6">
        <f>=(G80*J80)</f>
        <v>3600</v>
      </c>
      <c r="M80" s="6">
        <f>=(K80*J80)</f>
        <v>3952.8</v>
      </c>
      <c r="N80" s="6">
        <f>=(L80-M80)</f>
        <v>-352.8000000000002</v>
      </c>
      <c r="O80" s="17">
        <v>0</v>
      </c>
      <c r="P80" s="21">
        <f>=Capacidad!$F$80</f>
        <v>0</v>
      </c>
      <c r="Q80" s="17">
        <v>1</v>
      </c>
      <c r="R80" s="23" t="str">
        <f>=IF(I80&lt;H80-0.000001,"LIMITADA","")</f>
        <v/>
      </c>
    </row>
    <row r="81">
      <c r="A81" s="17">
        <v>6</v>
      </c>
      <c r="B81" s="17" t="str">
        <v>Obturaciones de amalgamas</v>
      </c>
      <c r="C81" s="14">
        <v>15</v>
      </c>
      <c r="D81" s="25">
        <v>15</v>
      </c>
      <c r="E81" s="25">
        <v>0</v>
      </c>
      <c r="F81" s="14">
        <v>16.47</v>
      </c>
      <c r="G81" s="6">
        <f>=(C81*((1+Parametros!$C$10)^MAX(0,($A81-1))))</f>
        <v>15</v>
      </c>
      <c r="H81" s="6">
        <f>=IF(($A81&gt;=Q81),(D81*((1+Parametros!$C$11)^MAX(0,($A81-Q81)))),0)</f>
        <v>15</v>
      </c>
      <c r="I81" s="6">
        <f>=Capacidad!$E$81</f>
        <v>15</v>
      </c>
      <c r="J81" s="6">
        <f>=(I81*12)</f>
        <v>180</v>
      </c>
      <c r="K81" s="6">
        <f>=(F81*((1+Parametros!$C$8)^MAX(0,($A81-1))))</f>
        <v>16.47</v>
      </c>
      <c r="L81" s="6">
        <f>=(G81*J81)</f>
        <v>2700</v>
      </c>
      <c r="M81" s="6">
        <f>=(K81*J81)</f>
        <v>2964.6</v>
      </c>
      <c r="N81" s="6">
        <f>=(L81-M81)</f>
        <v>-264.5999999999999</v>
      </c>
      <c r="O81" s="17">
        <v>0</v>
      </c>
      <c r="P81" s="21">
        <f>=Capacidad!$F$81</f>
        <v>0</v>
      </c>
      <c r="Q81" s="17">
        <v>1</v>
      </c>
      <c r="R81" s="23" t="str">
        <f>=IF(I81&lt;H81-0.000001,"LIMITADA","")</f>
        <v/>
      </c>
    </row>
    <row r="82">
      <c r="A82" s="17">
        <v>6</v>
      </c>
      <c r="B82" s="17" t="str">
        <v>Profilaxis con ultrasonido</v>
      </c>
      <c r="C82" s="14">
        <v>50</v>
      </c>
      <c r="D82" s="25">
        <v>10</v>
      </c>
      <c r="E82" s="25">
        <v>0</v>
      </c>
      <c r="F82" s="14">
        <v>54.9</v>
      </c>
      <c r="G82" s="6">
        <f>=(C82*((1+Parametros!$C$10)^MAX(0,($A82-1))))</f>
        <v>50</v>
      </c>
      <c r="H82" s="6">
        <f>=IF(($A82&gt;=Q82),(D82*((1+Parametros!$C$11)^MAX(0,($A82-Q82)))),0)</f>
        <v>10</v>
      </c>
      <c r="I82" s="6">
        <f>=Capacidad!$E$82</f>
        <v>10</v>
      </c>
      <c r="J82" s="6">
        <f>=(I82*12)</f>
        <v>120</v>
      </c>
      <c r="K82" s="6">
        <f>=(F82*((1+Parametros!$C$8)^MAX(0,($A82-1))))</f>
        <v>54.9</v>
      </c>
      <c r="L82" s="6">
        <f>=(G82*J82)</f>
        <v>6000</v>
      </c>
      <c r="M82" s="6">
        <f>=(K82*J82)</f>
        <v>6588</v>
      </c>
      <c r="N82" s="6">
        <f>=(L82-M82)</f>
        <v>-588</v>
      </c>
      <c r="O82" s="17">
        <v>0</v>
      </c>
      <c r="P82" s="21">
        <f>=Capacidad!$F$82</f>
        <v>0</v>
      </c>
      <c r="Q82" s="17">
        <v>1</v>
      </c>
      <c r="R82" s="23" t="str">
        <f>=IF(I82&lt;H82-0.000001,"LIMITADA","")</f>
        <v/>
      </c>
    </row>
    <row r="83">
      <c r="A83" s="17">
        <v>6</v>
      </c>
      <c r="B83" s="17" t="str">
        <v>Prótesis</v>
      </c>
      <c r="C83" s="14">
        <v>193.63333333333333</v>
      </c>
      <c r="D83" s="25">
        <v>15</v>
      </c>
      <c r="E83" s="25">
        <v>0</v>
      </c>
      <c r="F83" s="14">
        <v>212.61</v>
      </c>
      <c r="G83" s="6">
        <f>=(C83*((1+Parametros!$C$10)^MAX(0,($A83-1))))</f>
        <v>193.63333333333333</v>
      </c>
      <c r="H83" s="6">
        <f>=IF(($A83&gt;=Q83),(D83*((1+Parametros!$C$11)^MAX(0,($A83-Q83)))),0)</f>
        <v>15</v>
      </c>
      <c r="I83" s="6">
        <f>=Capacidad!$E$83</f>
        <v>15</v>
      </c>
      <c r="J83" s="6">
        <f>=(I83*12)</f>
        <v>180</v>
      </c>
      <c r="K83" s="6">
        <f>=(F83*((1+Parametros!$C$8)^MAX(0,($A83-1))))</f>
        <v>212.61</v>
      </c>
      <c r="L83" s="6">
        <f>=(G83*J83)</f>
        <v>34854</v>
      </c>
      <c r="M83" s="6">
        <f>=(K83*J83)</f>
        <v>38269.8</v>
      </c>
      <c r="N83" s="6">
        <f>=(L83-M83)</f>
        <v>-3415.800000000003</v>
      </c>
      <c r="O83" s="17">
        <v>0</v>
      </c>
      <c r="P83" s="21">
        <f>=Capacidad!$F$83</f>
        <v>0</v>
      </c>
      <c r="Q83" s="17">
        <v>1</v>
      </c>
      <c r="R83" s="23" t="str">
        <f>=IF(I83&lt;H83-0.000001,"LIMITADA","")</f>
        <v/>
      </c>
    </row>
    <row r="84">
      <c r="A84" s="17">
        <v>6</v>
      </c>
      <c r="B84" s="17" t="str">
        <v>Exodoncia</v>
      </c>
      <c r="C84" s="14">
        <v>124.16666666666667</v>
      </c>
      <c r="D84" s="25">
        <v>10</v>
      </c>
      <c r="E84" s="25">
        <v>0</v>
      </c>
      <c r="F84" s="14">
        <v>136.33</v>
      </c>
      <c r="G84" s="6">
        <f>=(C84*((1+Parametros!$C$10)^MAX(0,($A84-1))))</f>
        <v>124.16666666666667</v>
      </c>
      <c r="H84" s="6">
        <f>=IF(($A84&gt;=Q84),(D84*((1+Parametros!$C$11)^MAX(0,($A84-Q84)))),0)</f>
        <v>10</v>
      </c>
      <c r="I84" s="6">
        <f>=Capacidad!$E$84</f>
        <v>10</v>
      </c>
      <c r="J84" s="6">
        <f>=(I84*12)</f>
        <v>120</v>
      </c>
      <c r="K84" s="6">
        <f>=(F84*((1+Parametros!$C$8)^MAX(0,($A84-1))))</f>
        <v>136.33</v>
      </c>
      <c r="L84" s="6">
        <f>=(G84*J84)</f>
        <v>14900</v>
      </c>
      <c r="M84" s="6">
        <f>=(K84*J84)</f>
        <v>16359.600000000002</v>
      </c>
      <c r="N84" s="6">
        <f>=(L84-M84)</f>
        <v>-1459.6000000000022</v>
      </c>
      <c r="O84" s="17">
        <v>0</v>
      </c>
      <c r="P84" s="21">
        <f>=Capacidad!$F$84</f>
        <v>0</v>
      </c>
      <c r="Q84" s="17">
        <v>1</v>
      </c>
      <c r="R84" s="23" t="str">
        <f>=IF(I84&lt;H84-0.000001,"LIMITADA","")</f>
        <v/>
      </c>
    </row>
    <row r="85">
      <c r="A85" s="17">
        <v>6</v>
      </c>
      <c r="B85" s="17" t="str">
        <v>Resedimentado de corona</v>
      </c>
      <c r="C85" s="14">
        <v>25</v>
      </c>
      <c r="D85" s="25">
        <v>5</v>
      </c>
      <c r="E85" s="25">
        <v>0</v>
      </c>
      <c r="F85" s="14">
        <v>27.45</v>
      </c>
      <c r="G85" s="6">
        <f>=(C85*((1+Parametros!$C$10)^MAX(0,($A85-1))))</f>
        <v>25</v>
      </c>
      <c r="H85" s="6">
        <f>=IF(($A85&gt;=Q85),(D85*((1+Parametros!$C$11)^MAX(0,($A85-Q85)))),0)</f>
        <v>5</v>
      </c>
      <c r="I85" s="6">
        <f>=Capacidad!$E$85</f>
        <v>5</v>
      </c>
      <c r="J85" s="6">
        <f>=(I85*12)</f>
        <v>60</v>
      </c>
      <c r="K85" s="6">
        <f>=(F85*((1+Parametros!$C$8)^MAX(0,($A85-1))))</f>
        <v>27.45</v>
      </c>
      <c r="L85" s="6">
        <f>=(G85*J85)</f>
        <v>1500</v>
      </c>
      <c r="M85" s="6">
        <f>=(K85*J85)</f>
        <v>1647</v>
      </c>
      <c r="N85" s="6">
        <f>=(L85-M85)</f>
        <v>-147</v>
      </c>
      <c r="O85" s="17">
        <v>0</v>
      </c>
      <c r="P85" s="21">
        <f>=Capacidad!$F$85</f>
        <v>0</v>
      </c>
      <c r="Q85" s="17">
        <v>1</v>
      </c>
      <c r="R85" s="23" t="str">
        <f>=IF(I85&lt;H85-0.000001,"LIMITADA","")</f>
        <v/>
      </c>
    </row>
    <row r="86">
      <c r="A86" s="17">
        <v>6</v>
      </c>
      <c r="B86" s="17" t="str">
        <v>Corona y espiga acrílica</v>
      </c>
      <c r="C86" s="14">
        <v>80</v>
      </c>
      <c r="D86" s="25">
        <v>5</v>
      </c>
      <c r="E86" s="25">
        <v>0</v>
      </c>
      <c r="F86" s="14">
        <v>87.84</v>
      </c>
      <c r="G86" s="6">
        <f>=(C86*((1+Parametros!$C$10)^MAX(0,($A86-1))))</f>
        <v>80</v>
      </c>
      <c r="H86" s="6">
        <f>=IF(($A86&gt;=Q86),(D86*((1+Parametros!$C$11)^MAX(0,($A86-Q86)))),0)</f>
        <v>5</v>
      </c>
      <c r="I86" s="6">
        <f>=Capacidad!$E$86</f>
        <v>5</v>
      </c>
      <c r="J86" s="6">
        <f>=(I86*12)</f>
        <v>60</v>
      </c>
      <c r="K86" s="6">
        <f>=(F86*((1+Parametros!$C$8)^MAX(0,($A86-1))))</f>
        <v>87.84</v>
      </c>
      <c r="L86" s="6">
        <f>=(G86*J86)</f>
        <v>4800</v>
      </c>
      <c r="M86" s="6">
        <f>=(K86*J86)</f>
        <v>5270.400000000001</v>
      </c>
      <c r="N86" s="6">
        <f>=(L86-M86)</f>
        <v>-470.40000000000055</v>
      </c>
      <c r="O86" s="17">
        <v>0</v>
      </c>
      <c r="P86" s="21">
        <f>=Capacidad!$F$86</f>
        <v>0</v>
      </c>
      <c r="Q86" s="17">
        <v>1</v>
      </c>
      <c r="R86" s="23" t="str">
        <f>=IF(I86&lt;H86-0.000001,"LIMITADA","")</f>
        <v/>
      </c>
    </row>
    <row r="87">
      <c r="A87" s="17">
        <v>6</v>
      </c>
      <c r="B87" s="17" t="str">
        <v>Pulpotomía</v>
      </c>
      <c r="C87" s="14">
        <v>30</v>
      </c>
      <c r="D87" s="25">
        <v>3</v>
      </c>
      <c r="E87" s="25">
        <v>0</v>
      </c>
      <c r="F87" s="14">
        <v>32.94</v>
      </c>
      <c r="G87" s="6">
        <f>=(C87*((1+Parametros!$C$10)^MAX(0,($A87-1))))</f>
        <v>30</v>
      </c>
      <c r="H87" s="6">
        <f>=IF(($A87&gt;=Q87),(D87*((1+Parametros!$C$11)^MAX(0,($A87-Q87)))),0)</f>
        <v>3</v>
      </c>
      <c r="I87" s="6">
        <f>=Capacidad!$E$87</f>
        <v>3</v>
      </c>
      <c r="J87" s="6">
        <f>=(I87*12)</f>
        <v>36</v>
      </c>
      <c r="K87" s="6">
        <f>=(F87*((1+Parametros!$C$8)^MAX(0,($A87-1))))</f>
        <v>32.94</v>
      </c>
      <c r="L87" s="6">
        <f>=(G87*J87)</f>
        <v>1080</v>
      </c>
      <c r="M87" s="6">
        <f>=(K87*J87)</f>
        <v>1185.84</v>
      </c>
      <c r="N87" s="6">
        <f>=(L87-M87)</f>
        <v>-105.83999999999992</v>
      </c>
      <c r="O87" s="17">
        <v>0</v>
      </c>
      <c r="P87" s="21">
        <f>=Capacidad!$F$87</f>
        <v>0</v>
      </c>
      <c r="Q87" s="17">
        <v>1</v>
      </c>
      <c r="R87" s="23" t="str">
        <f>=IF(I87&lt;H87-0.000001,"LIMITADA","")</f>
        <v/>
      </c>
    </row>
    <row r="88">
      <c r="A88" s="17">
        <v>6</v>
      </c>
      <c r="B88" s="17" t="str">
        <v>Drenaje de absceso</v>
      </c>
      <c r="C88" s="14">
        <v>30</v>
      </c>
      <c r="D88" s="25">
        <v>5</v>
      </c>
      <c r="E88" s="25">
        <v>0</v>
      </c>
      <c r="F88" s="14">
        <v>32.94</v>
      </c>
      <c r="G88" s="6">
        <f>=(C88*((1+Parametros!$C$10)^MAX(0,($A88-1))))</f>
        <v>30</v>
      </c>
      <c r="H88" s="6">
        <f>=IF(($A88&gt;=Q88),(D88*((1+Parametros!$C$11)^MAX(0,($A88-Q88)))),0)</f>
        <v>5</v>
      </c>
      <c r="I88" s="6">
        <f>=Capacidad!$E$88</f>
        <v>5</v>
      </c>
      <c r="J88" s="6">
        <f>=(I88*12)</f>
        <v>60</v>
      </c>
      <c r="K88" s="6">
        <f>=(F88*((1+Parametros!$C$8)^MAX(0,($A88-1))))</f>
        <v>32.94</v>
      </c>
      <c r="L88" s="6">
        <f>=(G88*J88)</f>
        <v>1800</v>
      </c>
      <c r="M88" s="6">
        <f>=(K88*J88)</f>
        <v>1976.3999999999999</v>
      </c>
      <c r="N88" s="6">
        <f>=(L88-M88)</f>
        <v>-176.39999999999986</v>
      </c>
      <c r="O88" s="17">
        <v>0</v>
      </c>
      <c r="P88" s="21">
        <f>=Capacidad!$F$88</f>
        <v>0</v>
      </c>
      <c r="Q88" s="17">
        <v>1</v>
      </c>
      <c r="R88" s="23" t="str">
        <f>=IF(I88&lt;H88-0.000001,"LIMITADA","")</f>
        <v/>
      </c>
    </row>
    <row r="89">
      <c r="A89" s="17">
        <v>6</v>
      </c>
      <c r="B89" s="17" t="str">
        <v>Reparación de prótesis</v>
      </c>
      <c r="C89" s="14">
        <v>20</v>
      </c>
      <c r="D89" s="25">
        <v>5</v>
      </c>
      <c r="E89" s="25">
        <v>0</v>
      </c>
      <c r="F89" s="14">
        <v>21.96</v>
      </c>
      <c r="G89" s="6">
        <f>=(C89*((1+Parametros!$C$10)^MAX(0,($A89-1))))</f>
        <v>20</v>
      </c>
      <c r="H89" s="6">
        <f>=IF(($A89&gt;=Q89),(D89*((1+Parametros!$C$11)^MAX(0,($A89-Q89)))),0)</f>
        <v>5</v>
      </c>
      <c r="I89" s="6">
        <f>=Capacidad!$E$89</f>
        <v>5</v>
      </c>
      <c r="J89" s="6">
        <f>=(I89*12)</f>
        <v>60</v>
      </c>
      <c r="K89" s="6">
        <f>=(F89*((1+Parametros!$C$8)^MAX(0,($A89-1))))</f>
        <v>21.96</v>
      </c>
      <c r="L89" s="6">
        <f>=(G89*J89)</f>
        <v>1200</v>
      </c>
      <c r="M89" s="6">
        <f>=(K89*J89)</f>
        <v>1317.6000000000001</v>
      </c>
      <c r="N89" s="6">
        <f>=(L89-M89)</f>
        <v>-117.60000000000014</v>
      </c>
      <c r="O89" s="17">
        <v>0</v>
      </c>
      <c r="P89" s="21">
        <f>=Capacidad!$F$89</f>
        <v>0</v>
      </c>
      <c r="Q89" s="17">
        <v>1</v>
      </c>
      <c r="R89" s="23" t="str">
        <f>=IF(I89&lt;H89-0.000001,"LIMITADA","")</f>
        <v/>
      </c>
    </row>
    <row r="90">
      <c r="A90" s="17">
        <v>6</v>
      </c>
      <c r="B90" s="17" t="str">
        <v>Cura de óxido de zinc</v>
      </c>
      <c r="C90" s="14">
        <v>25</v>
      </c>
      <c r="D90" s="25">
        <v>25</v>
      </c>
      <c r="E90" s="25">
        <v>0</v>
      </c>
      <c r="F90" s="14">
        <v>27.45</v>
      </c>
      <c r="G90" s="6">
        <f>=(C90*((1+Parametros!$C$10)^MAX(0,($A90-1))))</f>
        <v>25</v>
      </c>
      <c r="H90" s="6">
        <f>=IF(($A90&gt;=Q90),(D90*((1+Parametros!$C$11)^MAX(0,($A90-Q90)))),0)</f>
        <v>25</v>
      </c>
      <c r="I90" s="6">
        <f>=Capacidad!$E$90</f>
        <v>25</v>
      </c>
      <c r="J90" s="6">
        <f>=(I90*12)</f>
        <v>300</v>
      </c>
      <c r="K90" s="6">
        <f>=(F90*((1+Parametros!$C$8)^MAX(0,($A90-1))))</f>
        <v>27.45</v>
      </c>
      <c r="L90" s="6">
        <f>=(G90*J90)</f>
        <v>7500</v>
      </c>
      <c r="M90" s="6">
        <f>=(K90*J90)</f>
        <v>8235</v>
      </c>
      <c r="N90" s="6">
        <f>=(L90-M90)</f>
        <v>-735</v>
      </c>
      <c r="O90" s="17">
        <v>0</v>
      </c>
      <c r="P90" s="21">
        <f>=Capacidad!$F$90</f>
        <v>0</v>
      </c>
      <c r="Q90" s="17">
        <v>1</v>
      </c>
      <c r="R90" s="23" t="str">
        <f>=IF(I90&lt;H90-0.000001,"LIMITADA","")</f>
        <v/>
      </c>
    </row>
    <row r="91">
      <c r="A91" s="17">
        <v>6</v>
      </c>
      <c r="B91" s="17" t="str">
        <v>Radiografía</v>
      </c>
      <c r="C91" s="14">
        <v>15</v>
      </c>
      <c r="D91" s="25">
        <v>30</v>
      </c>
      <c r="E91" s="25">
        <v>0</v>
      </c>
      <c r="F91" s="14">
        <v>16.47</v>
      </c>
      <c r="G91" s="6">
        <f>=(C91*((1+Parametros!$C$10)^MAX(0,($A91-1))))</f>
        <v>15</v>
      </c>
      <c r="H91" s="6">
        <f>=IF(($A91&gt;=Q91),(D91*((1+Parametros!$C$11)^MAX(0,($A91-Q91)))),0)</f>
        <v>30</v>
      </c>
      <c r="I91" s="6">
        <f>=Capacidad!$E$91</f>
        <v>30</v>
      </c>
      <c r="J91" s="6">
        <f>=(I91*12)</f>
        <v>360</v>
      </c>
      <c r="K91" s="6">
        <f>=(F91*((1+Parametros!$C$8)^MAX(0,($A91-1))))</f>
        <v>16.47</v>
      </c>
      <c r="L91" s="6">
        <f>=(G91*J91)</f>
        <v>5400</v>
      </c>
      <c r="M91" s="6">
        <f>=(K91*J91)</f>
        <v>5929.2</v>
      </c>
      <c r="N91" s="6">
        <f>=(L91-M91)</f>
        <v>-529.1999999999998</v>
      </c>
      <c r="O91" s="17">
        <v>0</v>
      </c>
      <c r="P91" s="21">
        <f>=Capacidad!$F$91</f>
        <v>0</v>
      </c>
      <c r="Q91" s="17">
        <v>1</v>
      </c>
      <c r="R91" s="23" t="str">
        <f>=IF(I91&lt;H91-0.000001,"LIMITADA","")</f>
        <v/>
      </c>
    </row>
    <row r="92">
      <c r="A92" s="17">
        <v>6</v>
      </c>
      <c r="B92" s="17" t="str">
        <v>Corona acrílica</v>
      </c>
      <c r="C92" s="14">
        <v>80</v>
      </c>
      <c r="D92" s="25">
        <v>10</v>
      </c>
      <c r="E92" s="25">
        <v>0</v>
      </c>
      <c r="F92" s="14">
        <v>87.84</v>
      </c>
      <c r="G92" s="6">
        <f>=(C92*((1+Parametros!$C$10)^MAX(0,($A92-1))))</f>
        <v>80</v>
      </c>
      <c r="H92" s="6">
        <f>=IF(($A92&gt;=Q92),(D92*((1+Parametros!$C$11)^MAX(0,($A92-Q92)))),0)</f>
        <v>10</v>
      </c>
      <c r="I92" s="6">
        <f>=Capacidad!$E$92</f>
        <v>10</v>
      </c>
      <c r="J92" s="6">
        <f>=(I92*12)</f>
        <v>120</v>
      </c>
      <c r="K92" s="6">
        <f>=(F92*((1+Parametros!$C$8)^MAX(0,($A92-1))))</f>
        <v>87.84</v>
      </c>
      <c r="L92" s="6">
        <f>=(G92*J92)</f>
        <v>9600</v>
      </c>
      <c r="M92" s="6">
        <f>=(K92*J92)</f>
        <v>10540.800000000001</v>
      </c>
      <c r="N92" s="6">
        <f>=(L92-M92)</f>
        <v>-940.8000000000011</v>
      </c>
      <c r="O92" s="17">
        <v>0</v>
      </c>
      <c r="P92" s="21">
        <f>=Capacidad!$F$92</f>
        <v>0</v>
      </c>
      <c r="Q92" s="17">
        <v>1</v>
      </c>
      <c r="R92" s="23" t="str">
        <f>=IF(I92&lt;H92-0.000001,"LIMITADA","")</f>
        <v/>
      </c>
    </row>
    <row r="93">
      <c r="A93" s="17">
        <v>6</v>
      </c>
      <c r="B93" s="17" t="str">
        <v>Blanqueamientos</v>
      </c>
      <c r="C93" s="14">
        <v>150</v>
      </c>
      <c r="D93" s="25">
        <v>10</v>
      </c>
      <c r="E93" s="25">
        <v>0</v>
      </c>
      <c r="F93" s="14">
        <v>164.7</v>
      </c>
      <c r="G93" s="6">
        <f>=(C93*((1+Parametros!$C$10)^MAX(0,($A93-1))))</f>
        <v>150</v>
      </c>
      <c r="H93" s="6">
        <f>=IF(($A93&gt;=Q93),(D93*((1+Parametros!$C$11)^MAX(0,($A93-Q93)))),0)</f>
        <v>10</v>
      </c>
      <c r="I93" s="6">
        <f>=Capacidad!$E$93</f>
        <v>10</v>
      </c>
      <c r="J93" s="6">
        <f>=(I93*12)</f>
        <v>120</v>
      </c>
      <c r="K93" s="6">
        <f>=(F93*((1+Parametros!$C$8)^MAX(0,($A93-1))))</f>
        <v>164.7</v>
      </c>
      <c r="L93" s="6">
        <f>=(G93*J93)</f>
        <v>18000</v>
      </c>
      <c r="M93" s="6">
        <f>=(K93*J93)</f>
        <v>19764</v>
      </c>
      <c r="N93" s="6">
        <f>=(L93-M93)</f>
        <v>-1764</v>
      </c>
      <c r="O93" s="17">
        <v>0</v>
      </c>
      <c r="P93" s="21">
        <f>=Capacidad!$F$93</f>
        <v>0</v>
      </c>
      <c r="Q93" s="17">
        <v>1</v>
      </c>
      <c r="R93" s="23" t="str">
        <f>=IF(I93&lt;H93-0.000001,"LIMITADA","")</f>
        <v/>
      </c>
    </row>
    <row r="94">
      <c r="A94" s="17">
        <v>7</v>
      </c>
      <c r="B94" s="17" t="str">
        <v>Tratamientos pulporadiculares (TPR)</v>
      </c>
      <c r="C94" s="14">
        <v>80</v>
      </c>
      <c r="D94" s="25">
        <v>3</v>
      </c>
      <c r="E94" s="25">
        <v>0</v>
      </c>
      <c r="F94" s="14">
        <v>87.84</v>
      </c>
      <c r="G94" s="6">
        <f>=(C94*((1+Parametros!$C$10)^MAX(0,($A94-1))))</f>
        <v>80</v>
      </c>
      <c r="H94" s="6">
        <f>=IF(($A94&gt;=Q94),(D94*((1+Parametros!$C$11)^MAX(0,($A94-Q94)))),0)</f>
        <v>3</v>
      </c>
      <c r="I94" s="6">
        <f>=Capacidad!$E$94</f>
        <v>3</v>
      </c>
      <c r="J94" s="6">
        <f>=(I94*12)</f>
        <v>36</v>
      </c>
      <c r="K94" s="6">
        <f>=(F94*((1+Parametros!$C$8)^MAX(0,($A94-1))))</f>
        <v>87.84</v>
      </c>
      <c r="L94" s="6">
        <f>=(G94*J94)</f>
        <v>2880</v>
      </c>
      <c r="M94" s="6">
        <f>=(K94*J94)</f>
        <v>3162.2400000000002</v>
      </c>
      <c r="N94" s="6">
        <f>=(L94-M94)</f>
        <v>-282.24000000000024</v>
      </c>
      <c r="O94" s="17">
        <v>0</v>
      </c>
      <c r="P94" s="21">
        <f>=Capacidad!$F$94</f>
        <v>0</v>
      </c>
      <c r="Q94" s="17">
        <v>1</v>
      </c>
      <c r="R94" s="23" t="str">
        <f>=IF(I94&lt;H94-0.000001,"LIMITADA","")</f>
        <v/>
      </c>
    </row>
    <row r="95">
      <c r="A95" s="17">
        <v>7</v>
      </c>
      <c r="B95" s="17" t="str">
        <v>Obturaciones de resina</v>
      </c>
      <c r="C95" s="14">
        <v>20</v>
      </c>
      <c r="D95" s="25">
        <v>15</v>
      </c>
      <c r="E95" s="25">
        <v>0</v>
      </c>
      <c r="F95" s="14">
        <v>21.96</v>
      </c>
      <c r="G95" s="6">
        <f>=(C95*((1+Parametros!$C$10)^MAX(0,($A95-1))))</f>
        <v>20</v>
      </c>
      <c r="H95" s="6">
        <f>=IF(($A95&gt;=Q95),(D95*((1+Parametros!$C$11)^MAX(0,($A95-Q95)))),0)</f>
        <v>15</v>
      </c>
      <c r="I95" s="6">
        <f>=Capacidad!$E$95</f>
        <v>15</v>
      </c>
      <c r="J95" s="6">
        <f>=(I95*12)</f>
        <v>180</v>
      </c>
      <c r="K95" s="6">
        <f>=(F95*((1+Parametros!$C$8)^MAX(0,($A95-1))))</f>
        <v>21.96</v>
      </c>
      <c r="L95" s="6">
        <f>=(G95*J95)</f>
        <v>3600</v>
      </c>
      <c r="M95" s="6">
        <f>=(K95*J95)</f>
        <v>3952.8</v>
      </c>
      <c r="N95" s="6">
        <f>=(L95-M95)</f>
        <v>-352.8000000000002</v>
      </c>
      <c r="O95" s="17">
        <v>0</v>
      </c>
      <c r="P95" s="21">
        <f>=Capacidad!$F$95</f>
        <v>0</v>
      </c>
      <c r="Q95" s="17">
        <v>1</v>
      </c>
      <c r="R95" s="23" t="str">
        <f>=IF(I95&lt;H95-0.000001,"LIMITADA","")</f>
        <v/>
      </c>
    </row>
    <row r="96">
      <c r="A96" s="17">
        <v>7</v>
      </c>
      <c r="B96" s="17" t="str">
        <v>Obturaciones de amalgamas</v>
      </c>
      <c r="C96" s="14">
        <v>15</v>
      </c>
      <c r="D96" s="25">
        <v>15</v>
      </c>
      <c r="E96" s="25">
        <v>0</v>
      </c>
      <c r="F96" s="14">
        <v>16.47</v>
      </c>
      <c r="G96" s="6">
        <f>=(C96*((1+Parametros!$C$10)^MAX(0,($A96-1))))</f>
        <v>15</v>
      </c>
      <c r="H96" s="6">
        <f>=IF(($A96&gt;=Q96),(D96*((1+Parametros!$C$11)^MAX(0,($A96-Q96)))),0)</f>
        <v>15</v>
      </c>
      <c r="I96" s="6">
        <f>=Capacidad!$E$96</f>
        <v>15</v>
      </c>
      <c r="J96" s="6">
        <f>=(I96*12)</f>
        <v>180</v>
      </c>
      <c r="K96" s="6">
        <f>=(F96*((1+Parametros!$C$8)^MAX(0,($A96-1))))</f>
        <v>16.47</v>
      </c>
      <c r="L96" s="6">
        <f>=(G96*J96)</f>
        <v>2700</v>
      </c>
      <c r="M96" s="6">
        <f>=(K96*J96)</f>
        <v>2964.6</v>
      </c>
      <c r="N96" s="6">
        <f>=(L96-M96)</f>
        <v>-264.5999999999999</v>
      </c>
      <c r="O96" s="17">
        <v>0</v>
      </c>
      <c r="P96" s="21">
        <f>=Capacidad!$F$96</f>
        <v>0</v>
      </c>
      <c r="Q96" s="17">
        <v>1</v>
      </c>
      <c r="R96" s="23" t="str">
        <f>=IF(I96&lt;H96-0.000001,"LIMITADA","")</f>
        <v/>
      </c>
    </row>
    <row r="97">
      <c r="A97" s="17">
        <v>7</v>
      </c>
      <c r="B97" s="17" t="str">
        <v>Profilaxis con ultrasonido</v>
      </c>
      <c r="C97" s="14">
        <v>50</v>
      </c>
      <c r="D97" s="25">
        <v>10</v>
      </c>
      <c r="E97" s="25">
        <v>0</v>
      </c>
      <c r="F97" s="14">
        <v>54.9</v>
      </c>
      <c r="G97" s="6">
        <f>=(C97*((1+Parametros!$C$10)^MAX(0,($A97-1))))</f>
        <v>50</v>
      </c>
      <c r="H97" s="6">
        <f>=IF(($A97&gt;=Q97),(D97*((1+Parametros!$C$11)^MAX(0,($A97-Q97)))),0)</f>
        <v>10</v>
      </c>
      <c r="I97" s="6">
        <f>=Capacidad!$E$97</f>
        <v>10</v>
      </c>
      <c r="J97" s="6">
        <f>=(I97*12)</f>
        <v>120</v>
      </c>
      <c r="K97" s="6">
        <f>=(F97*((1+Parametros!$C$8)^MAX(0,($A97-1))))</f>
        <v>54.9</v>
      </c>
      <c r="L97" s="6">
        <f>=(G97*J97)</f>
        <v>6000</v>
      </c>
      <c r="M97" s="6">
        <f>=(K97*J97)</f>
        <v>6588</v>
      </c>
      <c r="N97" s="6">
        <f>=(L97-M97)</f>
        <v>-588</v>
      </c>
      <c r="O97" s="17">
        <v>0</v>
      </c>
      <c r="P97" s="21">
        <f>=Capacidad!$F$97</f>
        <v>0</v>
      </c>
      <c r="Q97" s="17">
        <v>1</v>
      </c>
      <c r="R97" s="23" t="str">
        <f>=IF(I97&lt;H97-0.000001,"LIMITADA","")</f>
        <v/>
      </c>
    </row>
    <row r="98">
      <c r="A98" s="17">
        <v>7</v>
      </c>
      <c r="B98" s="17" t="str">
        <v>Prótesis</v>
      </c>
      <c r="C98" s="14">
        <v>193.63333333333333</v>
      </c>
      <c r="D98" s="25">
        <v>15</v>
      </c>
      <c r="E98" s="25">
        <v>0</v>
      </c>
      <c r="F98" s="14">
        <v>212.61</v>
      </c>
      <c r="G98" s="6">
        <f>=(C98*((1+Parametros!$C$10)^MAX(0,($A98-1))))</f>
        <v>193.63333333333333</v>
      </c>
      <c r="H98" s="6">
        <f>=IF(($A98&gt;=Q98),(D98*((1+Parametros!$C$11)^MAX(0,($A98-Q98)))),0)</f>
        <v>15</v>
      </c>
      <c r="I98" s="6">
        <f>=Capacidad!$E$98</f>
        <v>15</v>
      </c>
      <c r="J98" s="6">
        <f>=(I98*12)</f>
        <v>180</v>
      </c>
      <c r="K98" s="6">
        <f>=(F98*((1+Parametros!$C$8)^MAX(0,($A98-1))))</f>
        <v>212.61</v>
      </c>
      <c r="L98" s="6">
        <f>=(G98*J98)</f>
        <v>34854</v>
      </c>
      <c r="M98" s="6">
        <f>=(K98*J98)</f>
        <v>38269.8</v>
      </c>
      <c r="N98" s="6">
        <f>=(L98-M98)</f>
        <v>-3415.800000000003</v>
      </c>
      <c r="O98" s="17">
        <v>0</v>
      </c>
      <c r="P98" s="21">
        <f>=Capacidad!$F$98</f>
        <v>0</v>
      </c>
      <c r="Q98" s="17">
        <v>1</v>
      </c>
      <c r="R98" s="23" t="str">
        <f>=IF(I98&lt;H98-0.000001,"LIMITADA","")</f>
        <v/>
      </c>
    </row>
    <row r="99">
      <c r="A99" s="17">
        <v>7</v>
      </c>
      <c r="B99" s="17" t="str">
        <v>Exodoncia</v>
      </c>
      <c r="C99" s="14">
        <v>124.16666666666667</v>
      </c>
      <c r="D99" s="25">
        <v>10</v>
      </c>
      <c r="E99" s="25">
        <v>0</v>
      </c>
      <c r="F99" s="14">
        <v>136.33</v>
      </c>
      <c r="G99" s="6">
        <f>=(C99*((1+Parametros!$C$10)^MAX(0,($A99-1))))</f>
        <v>124.16666666666667</v>
      </c>
      <c r="H99" s="6">
        <f>=IF(($A99&gt;=Q99),(D99*((1+Parametros!$C$11)^MAX(0,($A99-Q99)))),0)</f>
        <v>10</v>
      </c>
      <c r="I99" s="6">
        <f>=Capacidad!$E$99</f>
        <v>10</v>
      </c>
      <c r="J99" s="6">
        <f>=(I99*12)</f>
        <v>120</v>
      </c>
      <c r="K99" s="6">
        <f>=(F99*((1+Parametros!$C$8)^MAX(0,($A99-1))))</f>
        <v>136.33</v>
      </c>
      <c r="L99" s="6">
        <f>=(G99*J99)</f>
        <v>14900</v>
      </c>
      <c r="M99" s="6">
        <f>=(K99*J99)</f>
        <v>16359.600000000002</v>
      </c>
      <c r="N99" s="6">
        <f>=(L99-M99)</f>
        <v>-1459.6000000000022</v>
      </c>
      <c r="O99" s="17">
        <v>0</v>
      </c>
      <c r="P99" s="21">
        <f>=Capacidad!$F$99</f>
        <v>0</v>
      </c>
      <c r="Q99" s="17">
        <v>1</v>
      </c>
      <c r="R99" s="23" t="str">
        <f>=IF(I99&lt;H99-0.000001,"LIMITADA","")</f>
        <v/>
      </c>
    </row>
    <row r="100">
      <c r="A100" s="17">
        <v>7</v>
      </c>
      <c r="B100" s="17" t="str">
        <v>Resedimentado de corona</v>
      </c>
      <c r="C100" s="14">
        <v>25</v>
      </c>
      <c r="D100" s="25">
        <v>5</v>
      </c>
      <c r="E100" s="25">
        <v>0</v>
      </c>
      <c r="F100" s="14">
        <v>27.45</v>
      </c>
      <c r="G100" s="6">
        <f>=(C100*((1+Parametros!$C$10)^MAX(0,($A100-1))))</f>
        <v>25</v>
      </c>
      <c r="H100" s="6">
        <f>=IF(($A100&gt;=Q100),(D100*((1+Parametros!$C$11)^MAX(0,($A100-Q100)))),0)</f>
        <v>5</v>
      </c>
      <c r="I100" s="6">
        <f>=Capacidad!$E$100</f>
        <v>5</v>
      </c>
      <c r="J100" s="6">
        <f>=(I100*12)</f>
        <v>60</v>
      </c>
      <c r="K100" s="6">
        <f>=(F100*((1+Parametros!$C$8)^MAX(0,($A100-1))))</f>
        <v>27.45</v>
      </c>
      <c r="L100" s="6">
        <f>=(G100*J100)</f>
        <v>1500</v>
      </c>
      <c r="M100" s="6">
        <f>=(K100*J100)</f>
        <v>1647</v>
      </c>
      <c r="N100" s="6">
        <f>=(L100-M100)</f>
        <v>-147</v>
      </c>
      <c r="O100" s="17">
        <v>0</v>
      </c>
      <c r="P100" s="21">
        <f>=Capacidad!$F$100</f>
        <v>0</v>
      </c>
      <c r="Q100" s="17">
        <v>1</v>
      </c>
      <c r="R100" s="23" t="str">
        <f>=IF(I100&lt;H100-0.000001,"LIMITADA","")</f>
        <v/>
      </c>
    </row>
    <row r="101">
      <c r="A101" s="17">
        <v>7</v>
      </c>
      <c r="B101" s="17" t="str">
        <v>Corona y espiga acrílica</v>
      </c>
      <c r="C101" s="14">
        <v>80</v>
      </c>
      <c r="D101" s="25">
        <v>5</v>
      </c>
      <c r="E101" s="25">
        <v>0</v>
      </c>
      <c r="F101" s="14">
        <v>87.84</v>
      </c>
      <c r="G101" s="6">
        <f>=(C101*((1+Parametros!$C$10)^MAX(0,($A101-1))))</f>
        <v>80</v>
      </c>
      <c r="H101" s="6">
        <f>=IF(($A101&gt;=Q101),(D101*((1+Parametros!$C$11)^MAX(0,($A101-Q101)))),0)</f>
        <v>5</v>
      </c>
      <c r="I101" s="6">
        <f>=Capacidad!$E$101</f>
        <v>5</v>
      </c>
      <c r="J101" s="6">
        <f>=(I101*12)</f>
        <v>60</v>
      </c>
      <c r="K101" s="6">
        <f>=(F101*((1+Parametros!$C$8)^MAX(0,($A101-1))))</f>
        <v>87.84</v>
      </c>
      <c r="L101" s="6">
        <f>=(G101*J101)</f>
        <v>4800</v>
      </c>
      <c r="M101" s="6">
        <f>=(K101*J101)</f>
        <v>5270.400000000001</v>
      </c>
      <c r="N101" s="6">
        <f>=(L101-M101)</f>
        <v>-470.40000000000055</v>
      </c>
      <c r="O101" s="17">
        <v>0</v>
      </c>
      <c r="P101" s="21">
        <f>=Capacidad!$F$101</f>
        <v>0</v>
      </c>
      <c r="Q101" s="17">
        <v>1</v>
      </c>
      <c r="R101" s="23" t="str">
        <f>=IF(I101&lt;H101-0.000001,"LIMITADA","")</f>
        <v/>
      </c>
    </row>
    <row r="102">
      <c r="A102" s="17">
        <v>7</v>
      </c>
      <c r="B102" s="17" t="str">
        <v>Pulpotomía</v>
      </c>
      <c r="C102" s="14">
        <v>30</v>
      </c>
      <c r="D102" s="25">
        <v>3</v>
      </c>
      <c r="E102" s="25">
        <v>0</v>
      </c>
      <c r="F102" s="14">
        <v>32.94</v>
      </c>
      <c r="G102" s="6">
        <f>=(C102*((1+Parametros!$C$10)^MAX(0,($A102-1))))</f>
        <v>30</v>
      </c>
      <c r="H102" s="6">
        <f>=IF(($A102&gt;=Q102),(D102*((1+Parametros!$C$11)^MAX(0,($A102-Q102)))),0)</f>
        <v>3</v>
      </c>
      <c r="I102" s="6">
        <f>=Capacidad!$E$102</f>
        <v>3</v>
      </c>
      <c r="J102" s="6">
        <f>=(I102*12)</f>
        <v>36</v>
      </c>
      <c r="K102" s="6">
        <f>=(F102*((1+Parametros!$C$8)^MAX(0,($A102-1))))</f>
        <v>32.94</v>
      </c>
      <c r="L102" s="6">
        <f>=(G102*J102)</f>
        <v>1080</v>
      </c>
      <c r="M102" s="6">
        <f>=(K102*J102)</f>
        <v>1185.84</v>
      </c>
      <c r="N102" s="6">
        <f>=(L102-M102)</f>
        <v>-105.83999999999992</v>
      </c>
      <c r="O102" s="17">
        <v>0</v>
      </c>
      <c r="P102" s="21">
        <f>=Capacidad!$F$102</f>
        <v>0</v>
      </c>
      <c r="Q102" s="17">
        <v>1</v>
      </c>
      <c r="R102" s="23" t="str">
        <f>=IF(I102&lt;H102-0.000001,"LIMITADA","")</f>
        <v/>
      </c>
    </row>
    <row r="103">
      <c r="A103" s="17">
        <v>7</v>
      </c>
      <c r="B103" s="17" t="str">
        <v>Drenaje de absceso</v>
      </c>
      <c r="C103" s="14">
        <v>30</v>
      </c>
      <c r="D103" s="25">
        <v>5</v>
      </c>
      <c r="E103" s="25">
        <v>0</v>
      </c>
      <c r="F103" s="14">
        <v>32.94</v>
      </c>
      <c r="G103" s="6">
        <f>=(C103*((1+Parametros!$C$10)^MAX(0,($A103-1))))</f>
        <v>30</v>
      </c>
      <c r="H103" s="6">
        <f>=IF(($A103&gt;=Q103),(D103*((1+Parametros!$C$11)^MAX(0,($A103-Q103)))),0)</f>
        <v>5</v>
      </c>
      <c r="I103" s="6">
        <f>=Capacidad!$E$103</f>
        <v>5</v>
      </c>
      <c r="J103" s="6">
        <f>=(I103*12)</f>
        <v>60</v>
      </c>
      <c r="K103" s="6">
        <f>=(F103*((1+Parametros!$C$8)^MAX(0,($A103-1))))</f>
        <v>32.94</v>
      </c>
      <c r="L103" s="6">
        <f>=(G103*J103)</f>
        <v>1800</v>
      </c>
      <c r="M103" s="6">
        <f>=(K103*J103)</f>
        <v>1976.3999999999999</v>
      </c>
      <c r="N103" s="6">
        <f>=(L103-M103)</f>
        <v>-176.39999999999986</v>
      </c>
      <c r="O103" s="17">
        <v>0</v>
      </c>
      <c r="P103" s="21">
        <f>=Capacidad!$F$103</f>
        <v>0</v>
      </c>
      <c r="Q103" s="17">
        <v>1</v>
      </c>
      <c r="R103" s="23" t="str">
        <f>=IF(I103&lt;H103-0.000001,"LIMITADA","")</f>
        <v/>
      </c>
    </row>
    <row r="104">
      <c r="A104" s="17">
        <v>7</v>
      </c>
      <c r="B104" s="17" t="str">
        <v>Reparación de prótesis</v>
      </c>
      <c r="C104" s="14">
        <v>20</v>
      </c>
      <c r="D104" s="25">
        <v>5</v>
      </c>
      <c r="E104" s="25">
        <v>0</v>
      </c>
      <c r="F104" s="14">
        <v>21.96</v>
      </c>
      <c r="G104" s="6">
        <f>=(C104*((1+Parametros!$C$10)^MAX(0,($A104-1))))</f>
        <v>20</v>
      </c>
      <c r="H104" s="6">
        <f>=IF(($A104&gt;=Q104),(D104*((1+Parametros!$C$11)^MAX(0,($A104-Q104)))),0)</f>
        <v>5</v>
      </c>
      <c r="I104" s="6">
        <f>=Capacidad!$E$104</f>
        <v>5</v>
      </c>
      <c r="J104" s="6">
        <f>=(I104*12)</f>
        <v>60</v>
      </c>
      <c r="K104" s="6">
        <f>=(F104*((1+Parametros!$C$8)^MAX(0,($A104-1))))</f>
        <v>21.96</v>
      </c>
      <c r="L104" s="6">
        <f>=(G104*J104)</f>
        <v>1200</v>
      </c>
      <c r="M104" s="6">
        <f>=(K104*J104)</f>
        <v>1317.6000000000001</v>
      </c>
      <c r="N104" s="6">
        <f>=(L104-M104)</f>
        <v>-117.60000000000014</v>
      </c>
      <c r="O104" s="17">
        <v>0</v>
      </c>
      <c r="P104" s="21">
        <f>=Capacidad!$F$104</f>
        <v>0</v>
      </c>
      <c r="Q104" s="17">
        <v>1</v>
      </c>
      <c r="R104" s="23" t="str">
        <f>=IF(I104&lt;H104-0.000001,"LIMITADA","")</f>
        <v/>
      </c>
    </row>
    <row r="105">
      <c r="A105" s="17">
        <v>7</v>
      </c>
      <c r="B105" s="17" t="str">
        <v>Cura de óxido de zinc</v>
      </c>
      <c r="C105" s="14">
        <v>25</v>
      </c>
      <c r="D105" s="25">
        <v>25</v>
      </c>
      <c r="E105" s="25">
        <v>0</v>
      </c>
      <c r="F105" s="14">
        <v>27.45</v>
      </c>
      <c r="G105" s="6">
        <f>=(C105*((1+Parametros!$C$10)^MAX(0,($A105-1))))</f>
        <v>25</v>
      </c>
      <c r="H105" s="6">
        <f>=IF(($A105&gt;=Q105),(D105*((1+Parametros!$C$11)^MAX(0,($A105-Q105)))),0)</f>
        <v>25</v>
      </c>
      <c r="I105" s="6">
        <f>=Capacidad!$E$105</f>
        <v>25</v>
      </c>
      <c r="J105" s="6">
        <f>=(I105*12)</f>
        <v>300</v>
      </c>
      <c r="K105" s="6">
        <f>=(F105*((1+Parametros!$C$8)^MAX(0,($A105-1))))</f>
        <v>27.45</v>
      </c>
      <c r="L105" s="6">
        <f>=(G105*J105)</f>
        <v>7500</v>
      </c>
      <c r="M105" s="6">
        <f>=(K105*J105)</f>
        <v>8235</v>
      </c>
      <c r="N105" s="6">
        <f>=(L105-M105)</f>
        <v>-735</v>
      </c>
      <c r="O105" s="17">
        <v>0</v>
      </c>
      <c r="P105" s="21">
        <f>=Capacidad!$F$105</f>
        <v>0</v>
      </c>
      <c r="Q105" s="17">
        <v>1</v>
      </c>
      <c r="R105" s="23" t="str">
        <f>=IF(I105&lt;H105-0.000001,"LIMITADA","")</f>
        <v/>
      </c>
    </row>
    <row r="106">
      <c r="A106" s="17">
        <v>7</v>
      </c>
      <c r="B106" s="17" t="str">
        <v>Radiografía</v>
      </c>
      <c r="C106" s="14">
        <v>15</v>
      </c>
      <c r="D106" s="25">
        <v>30</v>
      </c>
      <c r="E106" s="25">
        <v>0</v>
      </c>
      <c r="F106" s="14">
        <v>16.47</v>
      </c>
      <c r="G106" s="6">
        <f>=(C106*((1+Parametros!$C$10)^MAX(0,($A106-1))))</f>
        <v>15</v>
      </c>
      <c r="H106" s="6">
        <f>=IF(($A106&gt;=Q106),(D106*((1+Parametros!$C$11)^MAX(0,($A106-Q106)))),0)</f>
        <v>30</v>
      </c>
      <c r="I106" s="6">
        <f>=Capacidad!$E$106</f>
        <v>30</v>
      </c>
      <c r="J106" s="6">
        <f>=(I106*12)</f>
        <v>360</v>
      </c>
      <c r="K106" s="6">
        <f>=(F106*((1+Parametros!$C$8)^MAX(0,($A106-1))))</f>
        <v>16.47</v>
      </c>
      <c r="L106" s="6">
        <f>=(G106*J106)</f>
        <v>5400</v>
      </c>
      <c r="M106" s="6">
        <f>=(K106*J106)</f>
        <v>5929.2</v>
      </c>
      <c r="N106" s="6">
        <f>=(L106-M106)</f>
        <v>-529.1999999999998</v>
      </c>
      <c r="O106" s="17">
        <v>0</v>
      </c>
      <c r="P106" s="21">
        <f>=Capacidad!$F$106</f>
        <v>0</v>
      </c>
      <c r="Q106" s="17">
        <v>1</v>
      </c>
      <c r="R106" s="23" t="str">
        <f>=IF(I106&lt;H106-0.000001,"LIMITADA","")</f>
        <v/>
      </c>
    </row>
    <row r="107">
      <c r="A107" s="17">
        <v>7</v>
      </c>
      <c r="B107" s="17" t="str">
        <v>Corona acrílica</v>
      </c>
      <c r="C107" s="14">
        <v>80</v>
      </c>
      <c r="D107" s="25">
        <v>10</v>
      </c>
      <c r="E107" s="25">
        <v>0</v>
      </c>
      <c r="F107" s="14">
        <v>87.84</v>
      </c>
      <c r="G107" s="6">
        <f>=(C107*((1+Parametros!$C$10)^MAX(0,($A107-1))))</f>
        <v>80</v>
      </c>
      <c r="H107" s="6">
        <f>=IF(($A107&gt;=Q107),(D107*((1+Parametros!$C$11)^MAX(0,($A107-Q107)))),0)</f>
        <v>10</v>
      </c>
      <c r="I107" s="6">
        <f>=Capacidad!$E$107</f>
        <v>10</v>
      </c>
      <c r="J107" s="6">
        <f>=(I107*12)</f>
        <v>120</v>
      </c>
      <c r="K107" s="6">
        <f>=(F107*((1+Parametros!$C$8)^MAX(0,($A107-1))))</f>
        <v>87.84</v>
      </c>
      <c r="L107" s="6">
        <f>=(G107*J107)</f>
        <v>9600</v>
      </c>
      <c r="M107" s="6">
        <f>=(K107*J107)</f>
        <v>10540.800000000001</v>
      </c>
      <c r="N107" s="6">
        <f>=(L107-M107)</f>
        <v>-940.8000000000011</v>
      </c>
      <c r="O107" s="17">
        <v>0</v>
      </c>
      <c r="P107" s="21">
        <f>=Capacidad!$F$107</f>
        <v>0</v>
      </c>
      <c r="Q107" s="17">
        <v>1</v>
      </c>
      <c r="R107" s="23" t="str">
        <f>=IF(I107&lt;H107-0.000001,"LIMITADA","")</f>
        <v/>
      </c>
    </row>
    <row r="108">
      <c r="A108" s="17">
        <v>7</v>
      </c>
      <c r="B108" s="17" t="str">
        <v>Blanqueamientos</v>
      </c>
      <c r="C108" s="14">
        <v>150</v>
      </c>
      <c r="D108" s="25">
        <v>10</v>
      </c>
      <c r="E108" s="25">
        <v>0</v>
      </c>
      <c r="F108" s="14">
        <v>164.7</v>
      </c>
      <c r="G108" s="6">
        <f>=(C108*((1+Parametros!$C$10)^MAX(0,($A108-1))))</f>
        <v>150</v>
      </c>
      <c r="H108" s="6">
        <f>=IF(($A108&gt;=Q108),(D108*((1+Parametros!$C$11)^MAX(0,($A108-Q108)))),0)</f>
        <v>10</v>
      </c>
      <c r="I108" s="6">
        <f>=Capacidad!$E$108</f>
        <v>10</v>
      </c>
      <c r="J108" s="6">
        <f>=(I108*12)</f>
        <v>120</v>
      </c>
      <c r="K108" s="6">
        <f>=(F108*((1+Parametros!$C$8)^MAX(0,($A108-1))))</f>
        <v>164.7</v>
      </c>
      <c r="L108" s="6">
        <f>=(G108*J108)</f>
        <v>18000</v>
      </c>
      <c r="M108" s="6">
        <f>=(K108*J108)</f>
        <v>19764</v>
      </c>
      <c r="N108" s="6">
        <f>=(L108-M108)</f>
        <v>-1764</v>
      </c>
      <c r="O108" s="17">
        <v>0</v>
      </c>
      <c r="P108" s="21">
        <f>=Capacidad!$F$108</f>
        <v>0</v>
      </c>
      <c r="Q108" s="17">
        <v>1</v>
      </c>
      <c r="R108" s="23" t="str">
        <f>=IF(I108&lt;H108-0.000001,"LIMITADA","")</f>
        <v/>
      </c>
    </row>
    <row r="109">
      <c r="A109" s="17">
        <v>8</v>
      </c>
      <c r="B109" s="17" t="str">
        <v>Tratamientos pulporadiculares (TPR)</v>
      </c>
      <c r="C109" s="14">
        <v>80</v>
      </c>
      <c r="D109" s="25">
        <v>3</v>
      </c>
      <c r="E109" s="25">
        <v>0</v>
      </c>
      <c r="F109" s="14">
        <v>87.84</v>
      </c>
      <c r="G109" s="6">
        <f>=(C109*((1+Parametros!$C$10)^MAX(0,($A109-1))))</f>
        <v>80</v>
      </c>
      <c r="H109" s="6">
        <f>=IF(($A109&gt;=Q109),(D109*((1+Parametros!$C$11)^MAX(0,($A109-Q109)))),0)</f>
        <v>3</v>
      </c>
      <c r="I109" s="6">
        <f>=Capacidad!$E$109</f>
        <v>3</v>
      </c>
      <c r="J109" s="6">
        <f>=(I109*12)</f>
        <v>36</v>
      </c>
      <c r="K109" s="6">
        <f>=(F109*((1+Parametros!$C$8)^MAX(0,($A109-1))))</f>
        <v>87.84</v>
      </c>
      <c r="L109" s="6">
        <f>=(G109*J109)</f>
        <v>2880</v>
      </c>
      <c r="M109" s="6">
        <f>=(K109*J109)</f>
        <v>3162.2400000000002</v>
      </c>
      <c r="N109" s="6">
        <f>=(L109-M109)</f>
        <v>-282.24000000000024</v>
      </c>
      <c r="O109" s="17">
        <v>0</v>
      </c>
      <c r="P109" s="21">
        <f>=Capacidad!$F$109</f>
        <v>0</v>
      </c>
      <c r="Q109" s="17">
        <v>1</v>
      </c>
      <c r="R109" s="23" t="str">
        <f>=IF(I109&lt;H109-0.000001,"LIMITADA","")</f>
        <v/>
      </c>
    </row>
    <row r="110">
      <c r="A110" s="17">
        <v>8</v>
      </c>
      <c r="B110" s="17" t="str">
        <v>Obturaciones de resina</v>
      </c>
      <c r="C110" s="14">
        <v>20</v>
      </c>
      <c r="D110" s="25">
        <v>15</v>
      </c>
      <c r="E110" s="25">
        <v>0</v>
      </c>
      <c r="F110" s="14">
        <v>21.96</v>
      </c>
      <c r="G110" s="6">
        <f>=(C110*((1+Parametros!$C$10)^MAX(0,($A110-1))))</f>
        <v>20</v>
      </c>
      <c r="H110" s="6">
        <f>=IF(($A110&gt;=Q110),(D110*((1+Parametros!$C$11)^MAX(0,($A110-Q110)))),0)</f>
        <v>15</v>
      </c>
      <c r="I110" s="6">
        <f>=Capacidad!$E$110</f>
        <v>15</v>
      </c>
      <c r="J110" s="6">
        <f>=(I110*12)</f>
        <v>180</v>
      </c>
      <c r="K110" s="6">
        <f>=(F110*((1+Parametros!$C$8)^MAX(0,($A110-1))))</f>
        <v>21.96</v>
      </c>
      <c r="L110" s="6">
        <f>=(G110*J110)</f>
        <v>3600</v>
      </c>
      <c r="M110" s="6">
        <f>=(K110*J110)</f>
        <v>3952.8</v>
      </c>
      <c r="N110" s="6">
        <f>=(L110-M110)</f>
        <v>-352.8000000000002</v>
      </c>
      <c r="O110" s="17">
        <v>0</v>
      </c>
      <c r="P110" s="21">
        <f>=Capacidad!$F$110</f>
        <v>0</v>
      </c>
      <c r="Q110" s="17">
        <v>1</v>
      </c>
      <c r="R110" s="23" t="str">
        <f>=IF(I110&lt;H110-0.000001,"LIMITADA","")</f>
        <v/>
      </c>
    </row>
    <row r="111">
      <c r="A111" s="17">
        <v>8</v>
      </c>
      <c r="B111" s="17" t="str">
        <v>Obturaciones de amalgamas</v>
      </c>
      <c r="C111" s="14">
        <v>15</v>
      </c>
      <c r="D111" s="25">
        <v>15</v>
      </c>
      <c r="E111" s="25">
        <v>0</v>
      </c>
      <c r="F111" s="14">
        <v>16.47</v>
      </c>
      <c r="G111" s="6">
        <f>=(C111*((1+Parametros!$C$10)^MAX(0,($A111-1))))</f>
        <v>15</v>
      </c>
      <c r="H111" s="6">
        <f>=IF(($A111&gt;=Q111),(D111*((1+Parametros!$C$11)^MAX(0,($A111-Q111)))),0)</f>
        <v>15</v>
      </c>
      <c r="I111" s="6">
        <f>=Capacidad!$E$111</f>
        <v>15</v>
      </c>
      <c r="J111" s="6">
        <f>=(I111*12)</f>
        <v>180</v>
      </c>
      <c r="K111" s="6">
        <f>=(F111*((1+Parametros!$C$8)^MAX(0,($A111-1))))</f>
        <v>16.47</v>
      </c>
      <c r="L111" s="6">
        <f>=(G111*J111)</f>
        <v>2700</v>
      </c>
      <c r="M111" s="6">
        <f>=(K111*J111)</f>
        <v>2964.6</v>
      </c>
      <c r="N111" s="6">
        <f>=(L111-M111)</f>
        <v>-264.5999999999999</v>
      </c>
      <c r="O111" s="17">
        <v>0</v>
      </c>
      <c r="P111" s="21">
        <f>=Capacidad!$F$111</f>
        <v>0</v>
      </c>
      <c r="Q111" s="17">
        <v>1</v>
      </c>
      <c r="R111" s="23" t="str">
        <f>=IF(I111&lt;H111-0.000001,"LIMITADA","")</f>
        <v/>
      </c>
    </row>
    <row r="112">
      <c r="A112" s="17">
        <v>8</v>
      </c>
      <c r="B112" s="17" t="str">
        <v>Profilaxis con ultrasonido</v>
      </c>
      <c r="C112" s="14">
        <v>50</v>
      </c>
      <c r="D112" s="25">
        <v>10</v>
      </c>
      <c r="E112" s="25">
        <v>0</v>
      </c>
      <c r="F112" s="14">
        <v>54.9</v>
      </c>
      <c r="G112" s="6">
        <f>=(C112*((1+Parametros!$C$10)^MAX(0,($A112-1))))</f>
        <v>50</v>
      </c>
      <c r="H112" s="6">
        <f>=IF(($A112&gt;=Q112),(D112*((1+Parametros!$C$11)^MAX(0,($A112-Q112)))),0)</f>
        <v>10</v>
      </c>
      <c r="I112" s="6">
        <f>=Capacidad!$E$112</f>
        <v>10</v>
      </c>
      <c r="J112" s="6">
        <f>=(I112*12)</f>
        <v>120</v>
      </c>
      <c r="K112" s="6">
        <f>=(F112*((1+Parametros!$C$8)^MAX(0,($A112-1))))</f>
        <v>54.9</v>
      </c>
      <c r="L112" s="6">
        <f>=(G112*J112)</f>
        <v>6000</v>
      </c>
      <c r="M112" s="6">
        <f>=(K112*J112)</f>
        <v>6588</v>
      </c>
      <c r="N112" s="6">
        <f>=(L112-M112)</f>
        <v>-588</v>
      </c>
      <c r="O112" s="17">
        <v>0</v>
      </c>
      <c r="P112" s="21">
        <f>=Capacidad!$F$112</f>
        <v>0</v>
      </c>
      <c r="Q112" s="17">
        <v>1</v>
      </c>
      <c r="R112" s="23" t="str">
        <f>=IF(I112&lt;H112-0.000001,"LIMITADA","")</f>
        <v/>
      </c>
    </row>
    <row r="113">
      <c r="A113" s="17">
        <v>8</v>
      </c>
      <c r="B113" s="17" t="str">
        <v>Prótesis</v>
      </c>
      <c r="C113" s="14">
        <v>193.63333333333333</v>
      </c>
      <c r="D113" s="25">
        <v>15</v>
      </c>
      <c r="E113" s="25">
        <v>0</v>
      </c>
      <c r="F113" s="14">
        <v>212.61</v>
      </c>
      <c r="G113" s="6">
        <f>=(C113*((1+Parametros!$C$10)^MAX(0,($A113-1))))</f>
        <v>193.63333333333333</v>
      </c>
      <c r="H113" s="6">
        <f>=IF(($A113&gt;=Q113),(D113*((1+Parametros!$C$11)^MAX(0,($A113-Q113)))),0)</f>
        <v>15</v>
      </c>
      <c r="I113" s="6">
        <f>=Capacidad!$E$113</f>
        <v>15</v>
      </c>
      <c r="J113" s="6">
        <f>=(I113*12)</f>
        <v>180</v>
      </c>
      <c r="K113" s="6">
        <f>=(F113*((1+Parametros!$C$8)^MAX(0,($A113-1))))</f>
        <v>212.61</v>
      </c>
      <c r="L113" s="6">
        <f>=(G113*J113)</f>
        <v>34854</v>
      </c>
      <c r="M113" s="6">
        <f>=(K113*J113)</f>
        <v>38269.8</v>
      </c>
      <c r="N113" s="6">
        <f>=(L113-M113)</f>
        <v>-3415.800000000003</v>
      </c>
      <c r="O113" s="17">
        <v>0</v>
      </c>
      <c r="P113" s="21">
        <f>=Capacidad!$F$113</f>
        <v>0</v>
      </c>
      <c r="Q113" s="17">
        <v>1</v>
      </c>
      <c r="R113" s="23" t="str">
        <f>=IF(I113&lt;H113-0.000001,"LIMITADA","")</f>
        <v/>
      </c>
    </row>
    <row r="114">
      <c r="A114" s="17">
        <v>8</v>
      </c>
      <c r="B114" s="17" t="str">
        <v>Exodoncia</v>
      </c>
      <c r="C114" s="14">
        <v>124.16666666666667</v>
      </c>
      <c r="D114" s="25">
        <v>10</v>
      </c>
      <c r="E114" s="25">
        <v>0</v>
      </c>
      <c r="F114" s="14">
        <v>136.33</v>
      </c>
      <c r="G114" s="6">
        <f>=(C114*((1+Parametros!$C$10)^MAX(0,($A114-1))))</f>
        <v>124.16666666666667</v>
      </c>
      <c r="H114" s="6">
        <f>=IF(($A114&gt;=Q114),(D114*((1+Parametros!$C$11)^MAX(0,($A114-Q114)))),0)</f>
        <v>10</v>
      </c>
      <c r="I114" s="6">
        <f>=Capacidad!$E$114</f>
        <v>10</v>
      </c>
      <c r="J114" s="6">
        <f>=(I114*12)</f>
        <v>120</v>
      </c>
      <c r="K114" s="6">
        <f>=(F114*((1+Parametros!$C$8)^MAX(0,($A114-1))))</f>
        <v>136.33</v>
      </c>
      <c r="L114" s="6">
        <f>=(G114*J114)</f>
        <v>14900</v>
      </c>
      <c r="M114" s="6">
        <f>=(K114*J114)</f>
        <v>16359.600000000002</v>
      </c>
      <c r="N114" s="6">
        <f>=(L114-M114)</f>
        <v>-1459.6000000000022</v>
      </c>
      <c r="O114" s="17">
        <v>0</v>
      </c>
      <c r="P114" s="21">
        <f>=Capacidad!$F$114</f>
        <v>0</v>
      </c>
      <c r="Q114" s="17">
        <v>1</v>
      </c>
      <c r="R114" s="23" t="str">
        <f>=IF(I114&lt;H114-0.000001,"LIMITADA","")</f>
        <v/>
      </c>
    </row>
    <row r="115">
      <c r="A115" s="17">
        <v>8</v>
      </c>
      <c r="B115" s="17" t="str">
        <v>Resedimentado de corona</v>
      </c>
      <c r="C115" s="14">
        <v>25</v>
      </c>
      <c r="D115" s="25">
        <v>5</v>
      </c>
      <c r="E115" s="25">
        <v>0</v>
      </c>
      <c r="F115" s="14">
        <v>27.45</v>
      </c>
      <c r="G115" s="6">
        <f>=(C115*((1+Parametros!$C$10)^MAX(0,($A115-1))))</f>
        <v>25</v>
      </c>
      <c r="H115" s="6">
        <f>=IF(($A115&gt;=Q115),(D115*((1+Parametros!$C$11)^MAX(0,($A115-Q115)))),0)</f>
        <v>5</v>
      </c>
      <c r="I115" s="6">
        <f>=Capacidad!$E$115</f>
        <v>5</v>
      </c>
      <c r="J115" s="6">
        <f>=(I115*12)</f>
        <v>60</v>
      </c>
      <c r="K115" s="6">
        <f>=(F115*((1+Parametros!$C$8)^MAX(0,($A115-1))))</f>
        <v>27.45</v>
      </c>
      <c r="L115" s="6">
        <f>=(G115*J115)</f>
        <v>1500</v>
      </c>
      <c r="M115" s="6">
        <f>=(K115*J115)</f>
        <v>1647</v>
      </c>
      <c r="N115" s="6">
        <f>=(L115-M115)</f>
        <v>-147</v>
      </c>
      <c r="O115" s="17">
        <v>0</v>
      </c>
      <c r="P115" s="21">
        <f>=Capacidad!$F$115</f>
        <v>0</v>
      </c>
      <c r="Q115" s="17">
        <v>1</v>
      </c>
      <c r="R115" s="23" t="str">
        <f>=IF(I115&lt;H115-0.000001,"LIMITADA","")</f>
        <v/>
      </c>
    </row>
    <row r="116">
      <c r="A116" s="17">
        <v>8</v>
      </c>
      <c r="B116" s="17" t="str">
        <v>Corona y espiga acrílica</v>
      </c>
      <c r="C116" s="14">
        <v>80</v>
      </c>
      <c r="D116" s="25">
        <v>5</v>
      </c>
      <c r="E116" s="25">
        <v>0</v>
      </c>
      <c r="F116" s="14">
        <v>87.84</v>
      </c>
      <c r="G116" s="6">
        <f>=(C116*((1+Parametros!$C$10)^MAX(0,($A116-1))))</f>
        <v>80</v>
      </c>
      <c r="H116" s="6">
        <f>=IF(($A116&gt;=Q116),(D116*((1+Parametros!$C$11)^MAX(0,($A116-Q116)))),0)</f>
        <v>5</v>
      </c>
      <c r="I116" s="6">
        <f>=Capacidad!$E$116</f>
        <v>5</v>
      </c>
      <c r="J116" s="6">
        <f>=(I116*12)</f>
        <v>60</v>
      </c>
      <c r="K116" s="6">
        <f>=(F116*((1+Parametros!$C$8)^MAX(0,($A116-1))))</f>
        <v>87.84</v>
      </c>
      <c r="L116" s="6">
        <f>=(G116*J116)</f>
        <v>4800</v>
      </c>
      <c r="M116" s="6">
        <f>=(K116*J116)</f>
        <v>5270.400000000001</v>
      </c>
      <c r="N116" s="6">
        <f>=(L116-M116)</f>
        <v>-470.40000000000055</v>
      </c>
      <c r="O116" s="17">
        <v>0</v>
      </c>
      <c r="P116" s="21">
        <f>=Capacidad!$F$116</f>
        <v>0</v>
      </c>
      <c r="Q116" s="17">
        <v>1</v>
      </c>
      <c r="R116" s="23" t="str">
        <f>=IF(I116&lt;H116-0.000001,"LIMITADA","")</f>
        <v/>
      </c>
    </row>
    <row r="117">
      <c r="A117" s="17">
        <v>8</v>
      </c>
      <c r="B117" s="17" t="str">
        <v>Pulpotomía</v>
      </c>
      <c r="C117" s="14">
        <v>30</v>
      </c>
      <c r="D117" s="25">
        <v>3</v>
      </c>
      <c r="E117" s="25">
        <v>0</v>
      </c>
      <c r="F117" s="14">
        <v>32.94</v>
      </c>
      <c r="G117" s="6">
        <f>=(C117*((1+Parametros!$C$10)^MAX(0,($A117-1))))</f>
        <v>30</v>
      </c>
      <c r="H117" s="6">
        <f>=IF(($A117&gt;=Q117),(D117*((1+Parametros!$C$11)^MAX(0,($A117-Q117)))),0)</f>
        <v>3</v>
      </c>
      <c r="I117" s="6">
        <f>=Capacidad!$E$117</f>
        <v>3</v>
      </c>
      <c r="J117" s="6">
        <f>=(I117*12)</f>
        <v>36</v>
      </c>
      <c r="K117" s="6">
        <f>=(F117*((1+Parametros!$C$8)^MAX(0,($A117-1))))</f>
        <v>32.94</v>
      </c>
      <c r="L117" s="6">
        <f>=(G117*J117)</f>
        <v>1080</v>
      </c>
      <c r="M117" s="6">
        <f>=(K117*J117)</f>
        <v>1185.84</v>
      </c>
      <c r="N117" s="6">
        <f>=(L117-M117)</f>
        <v>-105.83999999999992</v>
      </c>
      <c r="O117" s="17">
        <v>0</v>
      </c>
      <c r="P117" s="21">
        <f>=Capacidad!$F$117</f>
        <v>0</v>
      </c>
      <c r="Q117" s="17">
        <v>1</v>
      </c>
      <c r="R117" s="23" t="str">
        <f>=IF(I117&lt;H117-0.000001,"LIMITADA","")</f>
        <v/>
      </c>
    </row>
    <row r="118">
      <c r="A118" s="17">
        <v>8</v>
      </c>
      <c r="B118" s="17" t="str">
        <v>Drenaje de absceso</v>
      </c>
      <c r="C118" s="14">
        <v>30</v>
      </c>
      <c r="D118" s="25">
        <v>5</v>
      </c>
      <c r="E118" s="25">
        <v>0</v>
      </c>
      <c r="F118" s="14">
        <v>32.94</v>
      </c>
      <c r="G118" s="6">
        <f>=(C118*((1+Parametros!$C$10)^MAX(0,($A118-1))))</f>
        <v>30</v>
      </c>
      <c r="H118" s="6">
        <f>=IF(($A118&gt;=Q118),(D118*((1+Parametros!$C$11)^MAX(0,($A118-Q118)))),0)</f>
        <v>5</v>
      </c>
      <c r="I118" s="6">
        <f>=Capacidad!$E$118</f>
        <v>5</v>
      </c>
      <c r="J118" s="6">
        <f>=(I118*12)</f>
        <v>60</v>
      </c>
      <c r="K118" s="6">
        <f>=(F118*((1+Parametros!$C$8)^MAX(0,($A118-1))))</f>
        <v>32.94</v>
      </c>
      <c r="L118" s="6">
        <f>=(G118*J118)</f>
        <v>1800</v>
      </c>
      <c r="M118" s="6">
        <f>=(K118*J118)</f>
        <v>1976.3999999999999</v>
      </c>
      <c r="N118" s="6">
        <f>=(L118-M118)</f>
        <v>-176.39999999999986</v>
      </c>
      <c r="O118" s="17">
        <v>0</v>
      </c>
      <c r="P118" s="21">
        <f>=Capacidad!$F$118</f>
        <v>0</v>
      </c>
      <c r="Q118" s="17">
        <v>1</v>
      </c>
      <c r="R118" s="23" t="str">
        <f>=IF(I118&lt;H118-0.000001,"LIMITADA","")</f>
        <v/>
      </c>
    </row>
    <row r="119">
      <c r="A119" s="17">
        <v>8</v>
      </c>
      <c r="B119" s="17" t="str">
        <v>Reparación de prótesis</v>
      </c>
      <c r="C119" s="14">
        <v>20</v>
      </c>
      <c r="D119" s="25">
        <v>5</v>
      </c>
      <c r="E119" s="25">
        <v>0</v>
      </c>
      <c r="F119" s="14">
        <v>21.96</v>
      </c>
      <c r="G119" s="6">
        <f>=(C119*((1+Parametros!$C$10)^MAX(0,($A119-1))))</f>
        <v>20</v>
      </c>
      <c r="H119" s="6">
        <f>=IF(($A119&gt;=Q119),(D119*((1+Parametros!$C$11)^MAX(0,($A119-Q119)))),0)</f>
        <v>5</v>
      </c>
      <c r="I119" s="6">
        <f>=Capacidad!$E$119</f>
        <v>5</v>
      </c>
      <c r="J119" s="6">
        <f>=(I119*12)</f>
        <v>60</v>
      </c>
      <c r="K119" s="6">
        <f>=(F119*((1+Parametros!$C$8)^MAX(0,($A119-1))))</f>
        <v>21.96</v>
      </c>
      <c r="L119" s="6">
        <f>=(G119*J119)</f>
        <v>1200</v>
      </c>
      <c r="M119" s="6">
        <f>=(K119*J119)</f>
        <v>1317.6000000000001</v>
      </c>
      <c r="N119" s="6">
        <f>=(L119-M119)</f>
        <v>-117.60000000000014</v>
      </c>
      <c r="O119" s="17">
        <v>0</v>
      </c>
      <c r="P119" s="21">
        <f>=Capacidad!$F$119</f>
        <v>0</v>
      </c>
      <c r="Q119" s="17">
        <v>1</v>
      </c>
      <c r="R119" s="23" t="str">
        <f>=IF(I119&lt;H119-0.000001,"LIMITADA","")</f>
        <v/>
      </c>
    </row>
    <row r="120">
      <c r="A120" s="17">
        <v>8</v>
      </c>
      <c r="B120" s="17" t="str">
        <v>Cura de óxido de zinc</v>
      </c>
      <c r="C120" s="14">
        <v>25</v>
      </c>
      <c r="D120" s="25">
        <v>25</v>
      </c>
      <c r="E120" s="25">
        <v>0</v>
      </c>
      <c r="F120" s="14">
        <v>27.45</v>
      </c>
      <c r="G120" s="6">
        <f>=(C120*((1+Parametros!$C$10)^MAX(0,($A120-1))))</f>
        <v>25</v>
      </c>
      <c r="H120" s="6">
        <f>=IF(($A120&gt;=Q120),(D120*((1+Parametros!$C$11)^MAX(0,($A120-Q120)))),0)</f>
        <v>25</v>
      </c>
      <c r="I120" s="6">
        <f>=Capacidad!$E$120</f>
        <v>25</v>
      </c>
      <c r="J120" s="6">
        <f>=(I120*12)</f>
        <v>300</v>
      </c>
      <c r="K120" s="6">
        <f>=(F120*((1+Parametros!$C$8)^MAX(0,($A120-1))))</f>
        <v>27.45</v>
      </c>
      <c r="L120" s="6">
        <f>=(G120*J120)</f>
        <v>7500</v>
      </c>
      <c r="M120" s="6">
        <f>=(K120*J120)</f>
        <v>8235</v>
      </c>
      <c r="N120" s="6">
        <f>=(L120-M120)</f>
        <v>-735</v>
      </c>
      <c r="O120" s="17">
        <v>0</v>
      </c>
      <c r="P120" s="21">
        <f>=Capacidad!$F$120</f>
        <v>0</v>
      </c>
      <c r="Q120" s="17">
        <v>1</v>
      </c>
      <c r="R120" s="23" t="str">
        <f>=IF(I120&lt;H120-0.000001,"LIMITADA","")</f>
        <v/>
      </c>
    </row>
    <row r="121">
      <c r="A121" s="17">
        <v>8</v>
      </c>
      <c r="B121" s="17" t="str">
        <v>Radiografía</v>
      </c>
      <c r="C121" s="14">
        <v>15</v>
      </c>
      <c r="D121" s="25">
        <v>30</v>
      </c>
      <c r="E121" s="25">
        <v>0</v>
      </c>
      <c r="F121" s="14">
        <v>16.47</v>
      </c>
      <c r="G121" s="6">
        <f>=(C121*((1+Parametros!$C$10)^MAX(0,($A121-1))))</f>
        <v>15</v>
      </c>
      <c r="H121" s="6">
        <f>=IF(($A121&gt;=Q121),(D121*((1+Parametros!$C$11)^MAX(0,($A121-Q121)))),0)</f>
        <v>30</v>
      </c>
      <c r="I121" s="6">
        <f>=Capacidad!$E$121</f>
        <v>30</v>
      </c>
      <c r="J121" s="6">
        <f>=(I121*12)</f>
        <v>360</v>
      </c>
      <c r="K121" s="6">
        <f>=(F121*((1+Parametros!$C$8)^MAX(0,($A121-1))))</f>
        <v>16.47</v>
      </c>
      <c r="L121" s="6">
        <f>=(G121*J121)</f>
        <v>5400</v>
      </c>
      <c r="M121" s="6">
        <f>=(K121*J121)</f>
        <v>5929.2</v>
      </c>
      <c r="N121" s="6">
        <f>=(L121-M121)</f>
        <v>-529.1999999999998</v>
      </c>
      <c r="O121" s="17">
        <v>0</v>
      </c>
      <c r="P121" s="21">
        <f>=Capacidad!$F$121</f>
        <v>0</v>
      </c>
      <c r="Q121" s="17">
        <v>1</v>
      </c>
      <c r="R121" s="23" t="str">
        <f>=IF(I121&lt;H121-0.000001,"LIMITADA","")</f>
        <v/>
      </c>
    </row>
    <row r="122">
      <c r="A122" s="17">
        <v>8</v>
      </c>
      <c r="B122" s="17" t="str">
        <v>Corona acrílica</v>
      </c>
      <c r="C122" s="14">
        <v>80</v>
      </c>
      <c r="D122" s="25">
        <v>10</v>
      </c>
      <c r="E122" s="25">
        <v>0</v>
      </c>
      <c r="F122" s="14">
        <v>87.84</v>
      </c>
      <c r="G122" s="6">
        <f>=(C122*((1+Parametros!$C$10)^MAX(0,($A122-1))))</f>
        <v>80</v>
      </c>
      <c r="H122" s="6">
        <f>=IF(($A122&gt;=Q122),(D122*((1+Parametros!$C$11)^MAX(0,($A122-Q122)))),0)</f>
        <v>10</v>
      </c>
      <c r="I122" s="6">
        <f>=Capacidad!$E$122</f>
        <v>10</v>
      </c>
      <c r="J122" s="6">
        <f>=(I122*12)</f>
        <v>120</v>
      </c>
      <c r="K122" s="6">
        <f>=(F122*((1+Parametros!$C$8)^MAX(0,($A122-1))))</f>
        <v>87.84</v>
      </c>
      <c r="L122" s="6">
        <f>=(G122*J122)</f>
        <v>9600</v>
      </c>
      <c r="M122" s="6">
        <f>=(K122*J122)</f>
        <v>10540.800000000001</v>
      </c>
      <c r="N122" s="6">
        <f>=(L122-M122)</f>
        <v>-940.8000000000011</v>
      </c>
      <c r="O122" s="17">
        <v>0</v>
      </c>
      <c r="P122" s="21">
        <f>=Capacidad!$F$122</f>
        <v>0</v>
      </c>
      <c r="Q122" s="17">
        <v>1</v>
      </c>
      <c r="R122" s="23" t="str">
        <f>=IF(I122&lt;H122-0.000001,"LIMITADA","")</f>
        <v/>
      </c>
    </row>
    <row r="123">
      <c r="A123" s="17">
        <v>8</v>
      </c>
      <c r="B123" s="17" t="str">
        <v>Blanqueamientos</v>
      </c>
      <c r="C123" s="14">
        <v>150</v>
      </c>
      <c r="D123" s="25">
        <v>10</v>
      </c>
      <c r="E123" s="25">
        <v>0</v>
      </c>
      <c r="F123" s="14">
        <v>164.7</v>
      </c>
      <c r="G123" s="6">
        <f>=(C123*((1+Parametros!$C$10)^MAX(0,($A123-1))))</f>
        <v>150</v>
      </c>
      <c r="H123" s="6">
        <f>=IF(($A123&gt;=Q123),(D123*((1+Parametros!$C$11)^MAX(0,($A123-Q123)))),0)</f>
        <v>10</v>
      </c>
      <c r="I123" s="6">
        <f>=Capacidad!$E$123</f>
        <v>10</v>
      </c>
      <c r="J123" s="6">
        <f>=(I123*12)</f>
        <v>120</v>
      </c>
      <c r="K123" s="6">
        <f>=(F123*((1+Parametros!$C$8)^MAX(0,($A123-1))))</f>
        <v>164.7</v>
      </c>
      <c r="L123" s="6">
        <f>=(G123*J123)</f>
        <v>18000</v>
      </c>
      <c r="M123" s="6">
        <f>=(K123*J123)</f>
        <v>19764</v>
      </c>
      <c r="N123" s="6">
        <f>=(L123-M123)</f>
        <v>-1764</v>
      </c>
      <c r="O123" s="17">
        <v>0</v>
      </c>
      <c r="P123" s="21">
        <f>=Capacidad!$F$123</f>
        <v>0</v>
      </c>
      <c r="Q123" s="17">
        <v>1</v>
      </c>
      <c r="R123" s="23" t="str">
        <f>=IF(I123&lt;H123-0.000001,"LIMITADA","")</f>
        <v/>
      </c>
    </row>
    <row r="124">
      <c r="A124" s="17">
        <v>9</v>
      </c>
      <c r="B124" s="17" t="str">
        <v>Tratamientos pulporadiculares (TPR)</v>
      </c>
      <c r="C124" s="14">
        <v>80</v>
      </c>
      <c r="D124" s="25">
        <v>3</v>
      </c>
      <c r="E124" s="25">
        <v>0</v>
      </c>
      <c r="F124" s="14">
        <v>87.84</v>
      </c>
      <c r="G124" s="6">
        <f>=(C124*((1+Parametros!$C$10)^MAX(0,($A124-1))))</f>
        <v>80</v>
      </c>
      <c r="H124" s="6">
        <f>=IF(($A124&gt;=Q124),(D124*((1+Parametros!$C$11)^MAX(0,($A124-Q124)))),0)</f>
        <v>3</v>
      </c>
      <c r="I124" s="6">
        <f>=Capacidad!$E$124</f>
        <v>3</v>
      </c>
      <c r="J124" s="6">
        <f>=(I124*12)</f>
        <v>36</v>
      </c>
      <c r="K124" s="6">
        <f>=(F124*((1+Parametros!$C$8)^MAX(0,($A124-1))))</f>
        <v>87.84</v>
      </c>
      <c r="L124" s="6">
        <f>=(G124*J124)</f>
        <v>2880</v>
      </c>
      <c r="M124" s="6">
        <f>=(K124*J124)</f>
        <v>3162.2400000000002</v>
      </c>
      <c r="N124" s="6">
        <f>=(L124-M124)</f>
        <v>-282.24000000000024</v>
      </c>
      <c r="O124" s="17">
        <v>0</v>
      </c>
      <c r="P124" s="21">
        <f>=Capacidad!$F$124</f>
        <v>0</v>
      </c>
      <c r="Q124" s="17">
        <v>1</v>
      </c>
      <c r="R124" s="23" t="str">
        <f>=IF(I124&lt;H124-0.000001,"LIMITADA","")</f>
        <v/>
      </c>
    </row>
    <row r="125">
      <c r="A125" s="17">
        <v>9</v>
      </c>
      <c r="B125" s="17" t="str">
        <v>Obturaciones de resina</v>
      </c>
      <c r="C125" s="14">
        <v>20</v>
      </c>
      <c r="D125" s="25">
        <v>15</v>
      </c>
      <c r="E125" s="25">
        <v>0</v>
      </c>
      <c r="F125" s="14">
        <v>21.96</v>
      </c>
      <c r="G125" s="6">
        <f>=(C125*((1+Parametros!$C$10)^MAX(0,($A125-1))))</f>
        <v>20</v>
      </c>
      <c r="H125" s="6">
        <f>=IF(($A125&gt;=Q125),(D125*((1+Parametros!$C$11)^MAX(0,($A125-Q125)))),0)</f>
        <v>15</v>
      </c>
      <c r="I125" s="6">
        <f>=Capacidad!$E$125</f>
        <v>15</v>
      </c>
      <c r="J125" s="6">
        <f>=(I125*12)</f>
        <v>180</v>
      </c>
      <c r="K125" s="6">
        <f>=(F125*((1+Parametros!$C$8)^MAX(0,($A125-1))))</f>
        <v>21.96</v>
      </c>
      <c r="L125" s="6">
        <f>=(G125*J125)</f>
        <v>3600</v>
      </c>
      <c r="M125" s="6">
        <f>=(K125*J125)</f>
        <v>3952.8</v>
      </c>
      <c r="N125" s="6">
        <f>=(L125-M125)</f>
        <v>-352.8000000000002</v>
      </c>
      <c r="O125" s="17">
        <v>0</v>
      </c>
      <c r="P125" s="21">
        <f>=Capacidad!$F$125</f>
        <v>0</v>
      </c>
      <c r="Q125" s="17">
        <v>1</v>
      </c>
      <c r="R125" s="23" t="str">
        <f>=IF(I125&lt;H125-0.000001,"LIMITADA","")</f>
        <v/>
      </c>
    </row>
    <row r="126">
      <c r="A126" s="17">
        <v>9</v>
      </c>
      <c r="B126" s="17" t="str">
        <v>Obturaciones de amalgamas</v>
      </c>
      <c r="C126" s="14">
        <v>15</v>
      </c>
      <c r="D126" s="25">
        <v>15</v>
      </c>
      <c r="E126" s="25">
        <v>0</v>
      </c>
      <c r="F126" s="14">
        <v>16.47</v>
      </c>
      <c r="G126" s="6">
        <f>=(C126*((1+Parametros!$C$10)^MAX(0,($A126-1))))</f>
        <v>15</v>
      </c>
      <c r="H126" s="6">
        <f>=IF(($A126&gt;=Q126),(D126*((1+Parametros!$C$11)^MAX(0,($A126-Q126)))),0)</f>
        <v>15</v>
      </c>
      <c r="I126" s="6">
        <f>=Capacidad!$E$126</f>
        <v>15</v>
      </c>
      <c r="J126" s="6">
        <f>=(I126*12)</f>
        <v>180</v>
      </c>
      <c r="K126" s="6">
        <f>=(F126*((1+Parametros!$C$8)^MAX(0,($A126-1))))</f>
        <v>16.47</v>
      </c>
      <c r="L126" s="6">
        <f>=(G126*J126)</f>
        <v>2700</v>
      </c>
      <c r="M126" s="6">
        <f>=(K126*J126)</f>
        <v>2964.6</v>
      </c>
      <c r="N126" s="6">
        <f>=(L126-M126)</f>
        <v>-264.5999999999999</v>
      </c>
      <c r="O126" s="17">
        <v>0</v>
      </c>
      <c r="P126" s="21">
        <f>=Capacidad!$F$126</f>
        <v>0</v>
      </c>
      <c r="Q126" s="17">
        <v>1</v>
      </c>
      <c r="R126" s="23" t="str">
        <f>=IF(I126&lt;H126-0.000001,"LIMITADA","")</f>
        <v/>
      </c>
    </row>
    <row r="127">
      <c r="A127" s="17">
        <v>9</v>
      </c>
      <c r="B127" s="17" t="str">
        <v>Profilaxis con ultrasonido</v>
      </c>
      <c r="C127" s="14">
        <v>50</v>
      </c>
      <c r="D127" s="25">
        <v>10</v>
      </c>
      <c r="E127" s="25">
        <v>0</v>
      </c>
      <c r="F127" s="14">
        <v>54.9</v>
      </c>
      <c r="G127" s="6">
        <f>=(C127*((1+Parametros!$C$10)^MAX(0,($A127-1))))</f>
        <v>50</v>
      </c>
      <c r="H127" s="6">
        <f>=IF(($A127&gt;=Q127),(D127*((1+Parametros!$C$11)^MAX(0,($A127-Q127)))),0)</f>
        <v>10</v>
      </c>
      <c r="I127" s="6">
        <f>=Capacidad!$E$127</f>
        <v>10</v>
      </c>
      <c r="J127" s="6">
        <f>=(I127*12)</f>
        <v>120</v>
      </c>
      <c r="K127" s="6">
        <f>=(F127*((1+Parametros!$C$8)^MAX(0,($A127-1))))</f>
        <v>54.9</v>
      </c>
      <c r="L127" s="6">
        <f>=(G127*J127)</f>
        <v>6000</v>
      </c>
      <c r="M127" s="6">
        <f>=(K127*J127)</f>
        <v>6588</v>
      </c>
      <c r="N127" s="6">
        <f>=(L127-M127)</f>
        <v>-588</v>
      </c>
      <c r="O127" s="17">
        <v>0</v>
      </c>
      <c r="P127" s="21">
        <f>=Capacidad!$F$127</f>
        <v>0</v>
      </c>
      <c r="Q127" s="17">
        <v>1</v>
      </c>
      <c r="R127" s="23" t="str">
        <f>=IF(I127&lt;H127-0.000001,"LIMITADA","")</f>
        <v/>
      </c>
    </row>
    <row r="128">
      <c r="A128" s="17">
        <v>9</v>
      </c>
      <c r="B128" s="17" t="str">
        <v>Prótesis</v>
      </c>
      <c r="C128" s="14">
        <v>193.63333333333333</v>
      </c>
      <c r="D128" s="25">
        <v>15</v>
      </c>
      <c r="E128" s="25">
        <v>0</v>
      </c>
      <c r="F128" s="14">
        <v>212.61</v>
      </c>
      <c r="G128" s="6">
        <f>=(C128*((1+Parametros!$C$10)^MAX(0,($A128-1))))</f>
        <v>193.63333333333333</v>
      </c>
      <c r="H128" s="6">
        <f>=IF(($A128&gt;=Q128),(D128*((1+Parametros!$C$11)^MAX(0,($A128-Q128)))),0)</f>
        <v>15</v>
      </c>
      <c r="I128" s="6">
        <f>=Capacidad!$E$128</f>
        <v>15</v>
      </c>
      <c r="J128" s="6">
        <f>=(I128*12)</f>
        <v>180</v>
      </c>
      <c r="K128" s="6">
        <f>=(F128*((1+Parametros!$C$8)^MAX(0,($A128-1))))</f>
        <v>212.61</v>
      </c>
      <c r="L128" s="6">
        <f>=(G128*J128)</f>
        <v>34854</v>
      </c>
      <c r="M128" s="6">
        <f>=(K128*J128)</f>
        <v>38269.8</v>
      </c>
      <c r="N128" s="6">
        <f>=(L128-M128)</f>
        <v>-3415.800000000003</v>
      </c>
      <c r="O128" s="17">
        <v>0</v>
      </c>
      <c r="P128" s="21">
        <f>=Capacidad!$F$128</f>
        <v>0</v>
      </c>
      <c r="Q128" s="17">
        <v>1</v>
      </c>
      <c r="R128" s="23" t="str">
        <f>=IF(I128&lt;H128-0.000001,"LIMITADA","")</f>
        <v/>
      </c>
    </row>
    <row r="129">
      <c r="A129" s="17">
        <v>9</v>
      </c>
      <c r="B129" s="17" t="str">
        <v>Exodoncia</v>
      </c>
      <c r="C129" s="14">
        <v>124.16666666666667</v>
      </c>
      <c r="D129" s="25">
        <v>10</v>
      </c>
      <c r="E129" s="25">
        <v>0</v>
      </c>
      <c r="F129" s="14">
        <v>136.33</v>
      </c>
      <c r="G129" s="6">
        <f>=(C129*((1+Parametros!$C$10)^MAX(0,($A129-1))))</f>
        <v>124.16666666666667</v>
      </c>
      <c r="H129" s="6">
        <f>=IF(($A129&gt;=Q129),(D129*((1+Parametros!$C$11)^MAX(0,($A129-Q129)))),0)</f>
        <v>10</v>
      </c>
      <c r="I129" s="6">
        <f>=Capacidad!$E$129</f>
        <v>10</v>
      </c>
      <c r="J129" s="6">
        <f>=(I129*12)</f>
        <v>120</v>
      </c>
      <c r="K129" s="6">
        <f>=(F129*((1+Parametros!$C$8)^MAX(0,($A129-1))))</f>
        <v>136.33</v>
      </c>
      <c r="L129" s="6">
        <f>=(G129*J129)</f>
        <v>14900</v>
      </c>
      <c r="M129" s="6">
        <f>=(K129*J129)</f>
        <v>16359.600000000002</v>
      </c>
      <c r="N129" s="6">
        <f>=(L129-M129)</f>
        <v>-1459.6000000000022</v>
      </c>
      <c r="O129" s="17">
        <v>0</v>
      </c>
      <c r="P129" s="21">
        <f>=Capacidad!$F$129</f>
        <v>0</v>
      </c>
      <c r="Q129" s="17">
        <v>1</v>
      </c>
      <c r="R129" s="23" t="str">
        <f>=IF(I129&lt;H129-0.000001,"LIMITADA","")</f>
        <v/>
      </c>
    </row>
    <row r="130">
      <c r="A130" s="17">
        <v>9</v>
      </c>
      <c r="B130" s="17" t="str">
        <v>Resedimentado de corona</v>
      </c>
      <c r="C130" s="14">
        <v>25</v>
      </c>
      <c r="D130" s="25">
        <v>5</v>
      </c>
      <c r="E130" s="25">
        <v>0</v>
      </c>
      <c r="F130" s="14">
        <v>27.45</v>
      </c>
      <c r="G130" s="6">
        <f>=(C130*((1+Parametros!$C$10)^MAX(0,($A130-1))))</f>
        <v>25</v>
      </c>
      <c r="H130" s="6">
        <f>=IF(($A130&gt;=Q130),(D130*((1+Parametros!$C$11)^MAX(0,($A130-Q130)))),0)</f>
        <v>5</v>
      </c>
      <c r="I130" s="6">
        <f>=Capacidad!$E$130</f>
        <v>5</v>
      </c>
      <c r="J130" s="6">
        <f>=(I130*12)</f>
        <v>60</v>
      </c>
      <c r="K130" s="6">
        <f>=(F130*((1+Parametros!$C$8)^MAX(0,($A130-1))))</f>
        <v>27.45</v>
      </c>
      <c r="L130" s="6">
        <f>=(G130*J130)</f>
        <v>1500</v>
      </c>
      <c r="M130" s="6">
        <f>=(K130*J130)</f>
        <v>1647</v>
      </c>
      <c r="N130" s="6">
        <f>=(L130-M130)</f>
        <v>-147</v>
      </c>
      <c r="O130" s="17">
        <v>0</v>
      </c>
      <c r="P130" s="21">
        <f>=Capacidad!$F$130</f>
        <v>0</v>
      </c>
      <c r="Q130" s="17">
        <v>1</v>
      </c>
      <c r="R130" s="23" t="str">
        <f>=IF(I130&lt;H130-0.000001,"LIMITADA","")</f>
        <v/>
      </c>
    </row>
    <row r="131">
      <c r="A131" s="17">
        <v>9</v>
      </c>
      <c r="B131" s="17" t="str">
        <v>Corona y espiga acrílica</v>
      </c>
      <c r="C131" s="14">
        <v>80</v>
      </c>
      <c r="D131" s="25">
        <v>5</v>
      </c>
      <c r="E131" s="25">
        <v>0</v>
      </c>
      <c r="F131" s="14">
        <v>87.84</v>
      </c>
      <c r="G131" s="6">
        <f>=(C131*((1+Parametros!$C$10)^MAX(0,($A131-1))))</f>
        <v>80</v>
      </c>
      <c r="H131" s="6">
        <f>=IF(($A131&gt;=Q131),(D131*((1+Parametros!$C$11)^MAX(0,($A131-Q131)))),0)</f>
        <v>5</v>
      </c>
      <c r="I131" s="6">
        <f>=Capacidad!$E$131</f>
        <v>5</v>
      </c>
      <c r="J131" s="6">
        <f>=(I131*12)</f>
        <v>60</v>
      </c>
      <c r="K131" s="6">
        <f>=(F131*((1+Parametros!$C$8)^MAX(0,($A131-1))))</f>
        <v>87.84</v>
      </c>
      <c r="L131" s="6">
        <f>=(G131*J131)</f>
        <v>4800</v>
      </c>
      <c r="M131" s="6">
        <f>=(K131*J131)</f>
        <v>5270.400000000001</v>
      </c>
      <c r="N131" s="6">
        <f>=(L131-M131)</f>
        <v>-470.40000000000055</v>
      </c>
      <c r="O131" s="17">
        <v>0</v>
      </c>
      <c r="P131" s="21">
        <f>=Capacidad!$F$131</f>
        <v>0</v>
      </c>
      <c r="Q131" s="17">
        <v>1</v>
      </c>
      <c r="R131" s="23" t="str">
        <f>=IF(I131&lt;H131-0.000001,"LIMITADA","")</f>
        <v/>
      </c>
    </row>
    <row r="132">
      <c r="A132" s="17">
        <v>9</v>
      </c>
      <c r="B132" s="17" t="str">
        <v>Pulpotomía</v>
      </c>
      <c r="C132" s="14">
        <v>30</v>
      </c>
      <c r="D132" s="25">
        <v>3</v>
      </c>
      <c r="E132" s="25">
        <v>0</v>
      </c>
      <c r="F132" s="14">
        <v>32.94</v>
      </c>
      <c r="G132" s="6">
        <f>=(C132*((1+Parametros!$C$10)^MAX(0,($A132-1))))</f>
        <v>30</v>
      </c>
      <c r="H132" s="6">
        <f>=IF(($A132&gt;=Q132),(D132*((1+Parametros!$C$11)^MAX(0,($A132-Q132)))),0)</f>
        <v>3</v>
      </c>
      <c r="I132" s="6">
        <f>=Capacidad!$E$132</f>
        <v>3</v>
      </c>
      <c r="J132" s="6">
        <f>=(I132*12)</f>
        <v>36</v>
      </c>
      <c r="K132" s="6">
        <f>=(F132*((1+Parametros!$C$8)^MAX(0,($A132-1))))</f>
        <v>32.94</v>
      </c>
      <c r="L132" s="6">
        <f>=(G132*J132)</f>
        <v>1080</v>
      </c>
      <c r="M132" s="6">
        <f>=(K132*J132)</f>
        <v>1185.84</v>
      </c>
      <c r="N132" s="6">
        <f>=(L132-M132)</f>
        <v>-105.83999999999992</v>
      </c>
      <c r="O132" s="17">
        <v>0</v>
      </c>
      <c r="P132" s="21">
        <f>=Capacidad!$F$132</f>
        <v>0</v>
      </c>
      <c r="Q132" s="17">
        <v>1</v>
      </c>
      <c r="R132" s="23" t="str">
        <f>=IF(I132&lt;H132-0.000001,"LIMITADA","")</f>
        <v/>
      </c>
    </row>
    <row r="133">
      <c r="A133" s="17">
        <v>9</v>
      </c>
      <c r="B133" s="17" t="str">
        <v>Drenaje de absceso</v>
      </c>
      <c r="C133" s="14">
        <v>30</v>
      </c>
      <c r="D133" s="25">
        <v>5</v>
      </c>
      <c r="E133" s="25">
        <v>0</v>
      </c>
      <c r="F133" s="14">
        <v>32.94</v>
      </c>
      <c r="G133" s="6">
        <f>=(C133*((1+Parametros!$C$10)^MAX(0,($A133-1))))</f>
        <v>30</v>
      </c>
      <c r="H133" s="6">
        <f>=IF(($A133&gt;=Q133),(D133*((1+Parametros!$C$11)^MAX(0,($A133-Q133)))),0)</f>
        <v>5</v>
      </c>
      <c r="I133" s="6">
        <f>=Capacidad!$E$133</f>
        <v>5</v>
      </c>
      <c r="J133" s="6">
        <f>=(I133*12)</f>
        <v>60</v>
      </c>
      <c r="K133" s="6">
        <f>=(F133*((1+Parametros!$C$8)^MAX(0,($A133-1))))</f>
        <v>32.94</v>
      </c>
      <c r="L133" s="6">
        <f>=(G133*J133)</f>
        <v>1800</v>
      </c>
      <c r="M133" s="6">
        <f>=(K133*J133)</f>
        <v>1976.3999999999999</v>
      </c>
      <c r="N133" s="6">
        <f>=(L133-M133)</f>
        <v>-176.39999999999986</v>
      </c>
      <c r="O133" s="17">
        <v>0</v>
      </c>
      <c r="P133" s="21">
        <f>=Capacidad!$F$133</f>
        <v>0</v>
      </c>
      <c r="Q133" s="17">
        <v>1</v>
      </c>
      <c r="R133" s="23" t="str">
        <f>=IF(I133&lt;H133-0.000001,"LIMITADA","")</f>
        <v/>
      </c>
    </row>
    <row r="134">
      <c r="A134" s="17">
        <v>9</v>
      </c>
      <c r="B134" s="17" t="str">
        <v>Reparación de prótesis</v>
      </c>
      <c r="C134" s="14">
        <v>20</v>
      </c>
      <c r="D134" s="25">
        <v>5</v>
      </c>
      <c r="E134" s="25">
        <v>0</v>
      </c>
      <c r="F134" s="14">
        <v>21.96</v>
      </c>
      <c r="G134" s="6">
        <f>=(C134*((1+Parametros!$C$10)^MAX(0,($A134-1))))</f>
        <v>20</v>
      </c>
      <c r="H134" s="6">
        <f>=IF(($A134&gt;=Q134),(D134*((1+Parametros!$C$11)^MAX(0,($A134-Q134)))),0)</f>
        <v>5</v>
      </c>
      <c r="I134" s="6">
        <f>=Capacidad!$E$134</f>
        <v>5</v>
      </c>
      <c r="J134" s="6">
        <f>=(I134*12)</f>
        <v>60</v>
      </c>
      <c r="K134" s="6">
        <f>=(F134*((1+Parametros!$C$8)^MAX(0,($A134-1))))</f>
        <v>21.96</v>
      </c>
      <c r="L134" s="6">
        <f>=(G134*J134)</f>
        <v>1200</v>
      </c>
      <c r="M134" s="6">
        <f>=(K134*J134)</f>
        <v>1317.6000000000001</v>
      </c>
      <c r="N134" s="6">
        <f>=(L134-M134)</f>
        <v>-117.60000000000014</v>
      </c>
      <c r="O134" s="17">
        <v>0</v>
      </c>
      <c r="P134" s="21">
        <f>=Capacidad!$F$134</f>
        <v>0</v>
      </c>
      <c r="Q134" s="17">
        <v>1</v>
      </c>
      <c r="R134" s="23" t="str">
        <f>=IF(I134&lt;H134-0.000001,"LIMITADA","")</f>
        <v/>
      </c>
    </row>
    <row r="135">
      <c r="A135" s="17">
        <v>9</v>
      </c>
      <c r="B135" s="17" t="str">
        <v>Cura de óxido de zinc</v>
      </c>
      <c r="C135" s="14">
        <v>25</v>
      </c>
      <c r="D135" s="25">
        <v>25</v>
      </c>
      <c r="E135" s="25">
        <v>0</v>
      </c>
      <c r="F135" s="14">
        <v>27.45</v>
      </c>
      <c r="G135" s="6">
        <f>=(C135*((1+Parametros!$C$10)^MAX(0,($A135-1))))</f>
        <v>25</v>
      </c>
      <c r="H135" s="6">
        <f>=IF(($A135&gt;=Q135),(D135*((1+Parametros!$C$11)^MAX(0,($A135-Q135)))),0)</f>
        <v>25</v>
      </c>
      <c r="I135" s="6">
        <f>=Capacidad!$E$135</f>
        <v>25</v>
      </c>
      <c r="J135" s="6">
        <f>=(I135*12)</f>
        <v>300</v>
      </c>
      <c r="K135" s="6">
        <f>=(F135*((1+Parametros!$C$8)^MAX(0,($A135-1))))</f>
        <v>27.45</v>
      </c>
      <c r="L135" s="6">
        <f>=(G135*J135)</f>
        <v>7500</v>
      </c>
      <c r="M135" s="6">
        <f>=(K135*J135)</f>
        <v>8235</v>
      </c>
      <c r="N135" s="6">
        <f>=(L135-M135)</f>
        <v>-735</v>
      </c>
      <c r="O135" s="17">
        <v>0</v>
      </c>
      <c r="P135" s="21">
        <f>=Capacidad!$F$135</f>
        <v>0</v>
      </c>
      <c r="Q135" s="17">
        <v>1</v>
      </c>
      <c r="R135" s="23" t="str">
        <f>=IF(I135&lt;H135-0.000001,"LIMITADA","")</f>
        <v/>
      </c>
    </row>
    <row r="136">
      <c r="A136" s="17">
        <v>9</v>
      </c>
      <c r="B136" s="17" t="str">
        <v>Radiografía</v>
      </c>
      <c r="C136" s="14">
        <v>15</v>
      </c>
      <c r="D136" s="25">
        <v>30</v>
      </c>
      <c r="E136" s="25">
        <v>0</v>
      </c>
      <c r="F136" s="14">
        <v>16.47</v>
      </c>
      <c r="G136" s="6">
        <f>=(C136*((1+Parametros!$C$10)^MAX(0,($A136-1))))</f>
        <v>15</v>
      </c>
      <c r="H136" s="6">
        <f>=IF(($A136&gt;=Q136),(D136*((1+Parametros!$C$11)^MAX(0,($A136-Q136)))),0)</f>
        <v>30</v>
      </c>
      <c r="I136" s="6">
        <f>=Capacidad!$E$136</f>
        <v>30</v>
      </c>
      <c r="J136" s="6">
        <f>=(I136*12)</f>
        <v>360</v>
      </c>
      <c r="K136" s="6">
        <f>=(F136*((1+Parametros!$C$8)^MAX(0,($A136-1))))</f>
        <v>16.47</v>
      </c>
      <c r="L136" s="6">
        <f>=(G136*J136)</f>
        <v>5400</v>
      </c>
      <c r="M136" s="6">
        <f>=(K136*J136)</f>
        <v>5929.2</v>
      </c>
      <c r="N136" s="6">
        <f>=(L136-M136)</f>
        <v>-529.1999999999998</v>
      </c>
      <c r="O136" s="17">
        <v>0</v>
      </c>
      <c r="P136" s="21">
        <f>=Capacidad!$F$136</f>
        <v>0</v>
      </c>
      <c r="Q136" s="17">
        <v>1</v>
      </c>
      <c r="R136" s="23" t="str">
        <f>=IF(I136&lt;H136-0.000001,"LIMITADA","")</f>
        <v/>
      </c>
    </row>
    <row r="137">
      <c r="A137" s="17">
        <v>9</v>
      </c>
      <c r="B137" s="17" t="str">
        <v>Corona acrílica</v>
      </c>
      <c r="C137" s="14">
        <v>80</v>
      </c>
      <c r="D137" s="25">
        <v>10</v>
      </c>
      <c r="E137" s="25">
        <v>0</v>
      </c>
      <c r="F137" s="14">
        <v>87.84</v>
      </c>
      <c r="G137" s="6">
        <f>=(C137*((1+Parametros!$C$10)^MAX(0,($A137-1))))</f>
        <v>80</v>
      </c>
      <c r="H137" s="6">
        <f>=IF(($A137&gt;=Q137),(D137*((1+Parametros!$C$11)^MAX(0,($A137-Q137)))),0)</f>
        <v>10</v>
      </c>
      <c r="I137" s="6">
        <f>=Capacidad!$E$137</f>
        <v>10</v>
      </c>
      <c r="J137" s="6">
        <f>=(I137*12)</f>
        <v>120</v>
      </c>
      <c r="K137" s="6">
        <f>=(F137*((1+Parametros!$C$8)^MAX(0,($A137-1))))</f>
        <v>87.84</v>
      </c>
      <c r="L137" s="6">
        <f>=(G137*J137)</f>
        <v>9600</v>
      </c>
      <c r="M137" s="6">
        <f>=(K137*J137)</f>
        <v>10540.800000000001</v>
      </c>
      <c r="N137" s="6">
        <f>=(L137-M137)</f>
        <v>-940.8000000000011</v>
      </c>
      <c r="O137" s="17">
        <v>0</v>
      </c>
      <c r="P137" s="21">
        <f>=Capacidad!$F$137</f>
        <v>0</v>
      </c>
      <c r="Q137" s="17">
        <v>1</v>
      </c>
      <c r="R137" s="23" t="str">
        <f>=IF(I137&lt;H137-0.000001,"LIMITADA","")</f>
        <v/>
      </c>
    </row>
    <row r="138">
      <c r="A138" s="17">
        <v>9</v>
      </c>
      <c r="B138" s="17" t="str">
        <v>Blanqueamientos</v>
      </c>
      <c r="C138" s="14">
        <v>150</v>
      </c>
      <c r="D138" s="25">
        <v>10</v>
      </c>
      <c r="E138" s="25">
        <v>0</v>
      </c>
      <c r="F138" s="14">
        <v>164.7</v>
      </c>
      <c r="G138" s="6">
        <f>=(C138*((1+Parametros!$C$10)^MAX(0,($A138-1))))</f>
        <v>150</v>
      </c>
      <c r="H138" s="6">
        <f>=IF(($A138&gt;=Q138),(D138*((1+Parametros!$C$11)^MAX(0,($A138-Q138)))),0)</f>
        <v>10</v>
      </c>
      <c r="I138" s="6">
        <f>=Capacidad!$E$138</f>
        <v>10</v>
      </c>
      <c r="J138" s="6">
        <f>=(I138*12)</f>
        <v>120</v>
      </c>
      <c r="K138" s="6">
        <f>=(F138*((1+Parametros!$C$8)^MAX(0,($A138-1))))</f>
        <v>164.7</v>
      </c>
      <c r="L138" s="6">
        <f>=(G138*J138)</f>
        <v>18000</v>
      </c>
      <c r="M138" s="6">
        <f>=(K138*J138)</f>
        <v>19764</v>
      </c>
      <c r="N138" s="6">
        <f>=(L138-M138)</f>
        <v>-1764</v>
      </c>
      <c r="O138" s="17">
        <v>0</v>
      </c>
      <c r="P138" s="21">
        <f>=Capacidad!$F$138</f>
        <v>0</v>
      </c>
      <c r="Q138" s="17">
        <v>1</v>
      </c>
      <c r="R138" s="23" t="str">
        <f>=IF(I138&lt;H138-0.000001,"LIMITADA","")</f>
        <v/>
      </c>
    </row>
    <row r="139">
      <c r="A139" s="17">
        <v>10</v>
      </c>
      <c r="B139" s="17" t="str">
        <v>Tratamientos pulporadiculares (TPR)</v>
      </c>
      <c r="C139" s="14">
        <v>80</v>
      </c>
      <c r="D139" s="25">
        <v>3</v>
      </c>
      <c r="E139" s="25">
        <v>0</v>
      </c>
      <c r="F139" s="14">
        <v>87.84</v>
      </c>
      <c r="G139" s="6">
        <f>=(C139*((1+Parametros!$C$10)^MAX(0,($A139-1))))</f>
        <v>80</v>
      </c>
      <c r="H139" s="6">
        <f>=IF(($A139&gt;=Q139),(D139*((1+Parametros!$C$11)^MAX(0,($A139-Q139)))),0)</f>
        <v>3</v>
      </c>
      <c r="I139" s="6">
        <f>=Capacidad!$E$139</f>
        <v>3</v>
      </c>
      <c r="J139" s="6">
        <f>=(I139*12)</f>
        <v>36</v>
      </c>
      <c r="K139" s="6">
        <f>=(F139*((1+Parametros!$C$8)^MAX(0,($A139-1))))</f>
        <v>87.84</v>
      </c>
      <c r="L139" s="6">
        <f>=(G139*J139)</f>
        <v>2880</v>
      </c>
      <c r="M139" s="6">
        <f>=(K139*J139)</f>
        <v>3162.2400000000002</v>
      </c>
      <c r="N139" s="6">
        <f>=(L139-M139)</f>
        <v>-282.24000000000024</v>
      </c>
      <c r="O139" s="17">
        <v>0</v>
      </c>
      <c r="P139" s="21">
        <f>=Capacidad!$F$139</f>
        <v>0</v>
      </c>
      <c r="Q139" s="17">
        <v>1</v>
      </c>
      <c r="R139" s="23" t="str">
        <f>=IF(I139&lt;H139-0.000001,"LIMITADA","")</f>
        <v/>
      </c>
    </row>
    <row r="140">
      <c r="A140" s="17">
        <v>10</v>
      </c>
      <c r="B140" s="17" t="str">
        <v>Obturaciones de resina</v>
      </c>
      <c r="C140" s="14">
        <v>20</v>
      </c>
      <c r="D140" s="25">
        <v>15</v>
      </c>
      <c r="E140" s="25">
        <v>0</v>
      </c>
      <c r="F140" s="14">
        <v>21.96</v>
      </c>
      <c r="G140" s="6">
        <f>=(C140*((1+Parametros!$C$10)^MAX(0,($A140-1))))</f>
        <v>20</v>
      </c>
      <c r="H140" s="6">
        <f>=IF(($A140&gt;=Q140),(D140*((1+Parametros!$C$11)^MAX(0,($A140-Q140)))),0)</f>
        <v>15</v>
      </c>
      <c r="I140" s="6">
        <f>=Capacidad!$E$140</f>
        <v>15</v>
      </c>
      <c r="J140" s="6">
        <f>=(I140*12)</f>
        <v>180</v>
      </c>
      <c r="K140" s="6">
        <f>=(F140*((1+Parametros!$C$8)^MAX(0,($A140-1))))</f>
        <v>21.96</v>
      </c>
      <c r="L140" s="6">
        <f>=(G140*J140)</f>
        <v>3600</v>
      </c>
      <c r="M140" s="6">
        <f>=(K140*J140)</f>
        <v>3952.8</v>
      </c>
      <c r="N140" s="6">
        <f>=(L140-M140)</f>
        <v>-352.8000000000002</v>
      </c>
      <c r="O140" s="17">
        <v>0</v>
      </c>
      <c r="P140" s="21">
        <f>=Capacidad!$F$140</f>
        <v>0</v>
      </c>
      <c r="Q140" s="17">
        <v>1</v>
      </c>
      <c r="R140" s="23" t="str">
        <f>=IF(I140&lt;H140-0.000001,"LIMITADA","")</f>
        <v/>
      </c>
    </row>
    <row r="141">
      <c r="A141" s="17">
        <v>10</v>
      </c>
      <c r="B141" s="17" t="str">
        <v>Obturaciones de amalgamas</v>
      </c>
      <c r="C141" s="14">
        <v>15</v>
      </c>
      <c r="D141" s="25">
        <v>15</v>
      </c>
      <c r="E141" s="25">
        <v>0</v>
      </c>
      <c r="F141" s="14">
        <v>16.47</v>
      </c>
      <c r="G141" s="6">
        <f>=(C141*((1+Parametros!$C$10)^MAX(0,($A141-1))))</f>
        <v>15</v>
      </c>
      <c r="H141" s="6">
        <f>=IF(($A141&gt;=Q141),(D141*((1+Parametros!$C$11)^MAX(0,($A141-Q141)))),0)</f>
        <v>15</v>
      </c>
      <c r="I141" s="6">
        <f>=Capacidad!$E$141</f>
        <v>15</v>
      </c>
      <c r="J141" s="6">
        <f>=(I141*12)</f>
        <v>180</v>
      </c>
      <c r="K141" s="6">
        <f>=(F141*((1+Parametros!$C$8)^MAX(0,($A141-1))))</f>
        <v>16.47</v>
      </c>
      <c r="L141" s="6">
        <f>=(G141*J141)</f>
        <v>2700</v>
      </c>
      <c r="M141" s="6">
        <f>=(K141*J141)</f>
        <v>2964.6</v>
      </c>
      <c r="N141" s="6">
        <f>=(L141-M141)</f>
        <v>-264.5999999999999</v>
      </c>
      <c r="O141" s="17">
        <v>0</v>
      </c>
      <c r="P141" s="21">
        <f>=Capacidad!$F$141</f>
        <v>0</v>
      </c>
      <c r="Q141" s="17">
        <v>1</v>
      </c>
      <c r="R141" s="23" t="str">
        <f>=IF(I141&lt;H141-0.000001,"LIMITADA","")</f>
        <v/>
      </c>
    </row>
    <row r="142">
      <c r="A142" s="17">
        <v>10</v>
      </c>
      <c r="B142" s="17" t="str">
        <v>Profilaxis con ultrasonido</v>
      </c>
      <c r="C142" s="14">
        <v>50</v>
      </c>
      <c r="D142" s="25">
        <v>10</v>
      </c>
      <c r="E142" s="25">
        <v>0</v>
      </c>
      <c r="F142" s="14">
        <v>54.9</v>
      </c>
      <c r="G142" s="6">
        <f>=(C142*((1+Parametros!$C$10)^MAX(0,($A142-1))))</f>
        <v>50</v>
      </c>
      <c r="H142" s="6">
        <f>=IF(($A142&gt;=Q142),(D142*((1+Parametros!$C$11)^MAX(0,($A142-Q142)))),0)</f>
        <v>10</v>
      </c>
      <c r="I142" s="6">
        <f>=Capacidad!$E$142</f>
        <v>10</v>
      </c>
      <c r="J142" s="6">
        <f>=(I142*12)</f>
        <v>120</v>
      </c>
      <c r="K142" s="6">
        <f>=(F142*((1+Parametros!$C$8)^MAX(0,($A142-1))))</f>
        <v>54.9</v>
      </c>
      <c r="L142" s="6">
        <f>=(G142*J142)</f>
        <v>6000</v>
      </c>
      <c r="M142" s="6">
        <f>=(K142*J142)</f>
        <v>6588</v>
      </c>
      <c r="N142" s="6">
        <f>=(L142-M142)</f>
        <v>-588</v>
      </c>
      <c r="O142" s="17">
        <v>0</v>
      </c>
      <c r="P142" s="21">
        <f>=Capacidad!$F$142</f>
        <v>0</v>
      </c>
      <c r="Q142" s="17">
        <v>1</v>
      </c>
      <c r="R142" s="23" t="str">
        <f>=IF(I142&lt;H142-0.000001,"LIMITADA","")</f>
        <v/>
      </c>
    </row>
    <row r="143">
      <c r="A143" s="17">
        <v>10</v>
      </c>
      <c r="B143" s="17" t="str">
        <v>Prótesis</v>
      </c>
      <c r="C143" s="14">
        <v>193.63333333333333</v>
      </c>
      <c r="D143" s="25">
        <v>15</v>
      </c>
      <c r="E143" s="25">
        <v>0</v>
      </c>
      <c r="F143" s="14">
        <v>212.61</v>
      </c>
      <c r="G143" s="6">
        <f>=(C143*((1+Parametros!$C$10)^MAX(0,($A143-1))))</f>
        <v>193.63333333333333</v>
      </c>
      <c r="H143" s="6">
        <f>=IF(($A143&gt;=Q143),(D143*((1+Parametros!$C$11)^MAX(0,($A143-Q143)))),0)</f>
        <v>15</v>
      </c>
      <c r="I143" s="6">
        <f>=Capacidad!$E$143</f>
        <v>15</v>
      </c>
      <c r="J143" s="6">
        <f>=(I143*12)</f>
        <v>180</v>
      </c>
      <c r="K143" s="6">
        <f>=(F143*((1+Parametros!$C$8)^MAX(0,($A143-1))))</f>
        <v>212.61</v>
      </c>
      <c r="L143" s="6">
        <f>=(G143*J143)</f>
        <v>34854</v>
      </c>
      <c r="M143" s="6">
        <f>=(K143*J143)</f>
        <v>38269.8</v>
      </c>
      <c r="N143" s="6">
        <f>=(L143-M143)</f>
        <v>-3415.800000000003</v>
      </c>
      <c r="O143" s="17">
        <v>0</v>
      </c>
      <c r="P143" s="21">
        <f>=Capacidad!$F$143</f>
        <v>0</v>
      </c>
      <c r="Q143" s="17">
        <v>1</v>
      </c>
      <c r="R143" s="23" t="str">
        <f>=IF(I143&lt;H143-0.000001,"LIMITADA","")</f>
        <v/>
      </c>
    </row>
    <row r="144">
      <c r="A144" s="17">
        <v>10</v>
      </c>
      <c r="B144" s="17" t="str">
        <v>Exodoncia</v>
      </c>
      <c r="C144" s="14">
        <v>124.16666666666667</v>
      </c>
      <c r="D144" s="25">
        <v>10</v>
      </c>
      <c r="E144" s="25">
        <v>0</v>
      </c>
      <c r="F144" s="14">
        <v>136.33</v>
      </c>
      <c r="G144" s="6">
        <f>=(C144*((1+Parametros!$C$10)^MAX(0,($A144-1))))</f>
        <v>124.16666666666667</v>
      </c>
      <c r="H144" s="6">
        <f>=IF(($A144&gt;=Q144),(D144*((1+Parametros!$C$11)^MAX(0,($A144-Q144)))),0)</f>
        <v>10</v>
      </c>
      <c r="I144" s="6">
        <f>=Capacidad!$E$144</f>
        <v>10</v>
      </c>
      <c r="J144" s="6">
        <f>=(I144*12)</f>
        <v>120</v>
      </c>
      <c r="K144" s="6">
        <f>=(F144*((1+Parametros!$C$8)^MAX(0,($A144-1))))</f>
        <v>136.33</v>
      </c>
      <c r="L144" s="6">
        <f>=(G144*J144)</f>
        <v>14900</v>
      </c>
      <c r="M144" s="6">
        <f>=(K144*J144)</f>
        <v>16359.600000000002</v>
      </c>
      <c r="N144" s="6">
        <f>=(L144-M144)</f>
        <v>-1459.6000000000022</v>
      </c>
      <c r="O144" s="17">
        <v>0</v>
      </c>
      <c r="P144" s="21">
        <f>=Capacidad!$F$144</f>
        <v>0</v>
      </c>
      <c r="Q144" s="17">
        <v>1</v>
      </c>
      <c r="R144" s="23" t="str">
        <f>=IF(I144&lt;H144-0.000001,"LIMITADA","")</f>
        <v/>
      </c>
    </row>
    <row r="145">
      <c r="A145" s="17">
        <v>10</v>
      </c>
      <c r="B145" s="17" t="str">
        <v>Resedimentado de corona</v>
      </c>
      <c r="C145" s="14">
        <v>25</v>
      </c>
      <c r="D145" s="25">
        <v>5</v>
      </c>
      <c r="E145" s="25">
        <v>0</v>
      </c>
      <c r="F145" s="14">
        <v>27.45</v>
      </c>
      <c r="G145" s="6">
        <f>=(C145*((1+Parametros!$C$10)^MAX(0,($A145-1))))</f>
        <v>25</v>
      </c>
      <c r="H145" s="6">
        <f>=IF(($A145&gt;=Q145),(D145*((1+Parametros!$C$11)^MAX(0,($A145-Q145)))),0)</f>
        <v>5</v>
      </c>
      <c r="I145" s="6">
        <f>=Capacidad!$E$145</f>
        <v>5</v>
      </c>
      <c r="J145" s="6">
        <f>=(I145*12)</f>
        <v>60</v>
      </c>
      <c r="K145" s="6">
        <f>=(F145*((1+Parametros!$C$8)^MAX(0,($A145-1))))</f>
        <v>27.45</v>
      </c>
      <c r="L145" s="6">
        <f>=(G145*J145)</f>
        <v>1500</v>
      </c>
      <c r="M145" s="6">
        <f>=(K145*J145)</f>
        <v>1647</v>
      </c>
      <c r="N145" s="6">
        <f>=(L145-M145)</f>
        <v>-147</v>
      </c>
      <c r="O145" s="17">
        <v>0</v>
      </c>
      <c r="P145" s="21">
        <f>=Capacidad!$F$145</f>
        <v>0</v>
      </c>
      <c r="Q145" s="17">
        <v>1</v>
      </c>
      <c r="R145" s="23" t="str">
        <f>=IF(I145&lt;H145-0.000001,"LIMITADA","")</f>
        <v/>
      </c>
    </row>
    <row r="146">
      <c r="A146" s="17">
        <v>10</v>
      </c>
      <c r="B146" s="17" t="str">
        <v>Corona y espiga acrílica</v>
      </c>
      <c r="C146" s="14">
        <v>80</v>
      </c>
      <c r="D146" s="25">
        <v>5</v>
      </c>
      <c r="E146" s="25">
        <v>0</v>
      </c>
      <c r="F146" s="14">
        <v>87.84</v>
      </c>
      <c r="G146" s="6">
        <f>=(C146*((1+Parametros!$C$10)^MAX(0,($A146-1))))</f>
        <v>80</v>
      </c>
      <c r="H146" s="6">
        <f>=IF(($A146&gt;=Q146),(D146*((1+Parametros!$C$11)^MAX(0,($A146-Q146)))),0)</f>
        <v>5</v>
      </c>
      <c r="I146" s="6">
        <f>=Capacidad!$E$146</f>
        <v>5</v>
      </c>
      <c r="J146" s="6">
        <f>=(I146*12)</f>
        <v>60</v>
      </c>
      <c r="K146" s="6">
        <f>=(F146*((1+Parametros!$C$8)^MAX(0,($A146-1))))</f>
        <v>87.84</v>
      </c>
      <c r="L146" s="6">
        <f>=(G146*J146)</f>
        <v>4800</v>
      </c>
      <c r="M146" s="6">
        <f>=(K146*J146)</f>
        <v>5270.400000000001</v>
      </c>
      <c r="N146" s="6">
        <f>=(L146-M146)</f>
        <v>-470.40000000000055</v>
      </c>
      <c r="O146" s="17">
        <v>0</v>
      </c>
      <c r="P146" s="21">
        <f>=Capacidad!$F$146</f>
        <v>0</v>
      </c>
      <c r="Q146" s="17">
        <v>1</v>
      </c>
      <c r="R146" s="23" t="str">
        <f>=IF(I146&lt;H146-0.000001,"LIMITADA","")</f>
        <v/>
      </c>
    </row>
    <row r="147">
      <c r="A147" s="17">
        <v>10</v>
      </c>
      <c r="B147" s="17" t="str">
        <v>Pulpotomía</v>
      </c>
      <c r="C147" s="14">
        <v>30</v>
      </c>
      <c r="D147" s="25">
        <v>3</v>
      </c>
      <c r="E147" s="25">
        <v>0</v>
      </c>
      <c r="F147" s="14">
        <v>32.94</v>
      </c>
      <c r="G147" s="6">
        <f>=(C147*((1+Parametros!$C$10)^MAX(0,($A147-1))))</f>
        <v>30</v>
      </c>
      <c r="H147" s="6">
        <f>=IF(($A147&gt;=Q147),(D147*((1+Parametros!$C$11)^MAX(0,($A147-Q147)))),0)</f>
        <v>3</v>
      </c>
      <c r="I147" s="6">
        <f>=Capacidad!$E$147</f>
        <v>3</v>
      </c>
      <c r="J147" s="6">
        <f>=(I147*12)</f>
        <v>36</v>
      </c>
      <c r="K147" s="6">
        <f>=(F147*((1+Parametros!$C$8)^MAX(0,($A147-1))))</f>
        <v>32.94</v>
      </c>
      <c r="L147" s="6">
        <f>=(G147*J147)</f>
        <v>1080</v>
      </c>
      <c r="M147" s="6">
        <f>=(K147*J147)</f>
        <v>1185.84</v>
      </c>
      <c r="N147" s="6">
        <f>=(L147-M147)</f>
        <v>-105.83999999999992</v>
      </c>
      <c r="O147" s="17">
        <v>0</v>
      </c>
      <c r="P147" s="21">
        <f>=Capacidad!$F$147</f>
        <v>0</v>
      </c>
      <c r="Q147" s="17">
        <v>1</v>
      </c>
      <c r="R147" s="23" t="str">
        <f>=IF(I147&lt;H147-0.000001,"LIMITADA","")</f>
        <v/>
      </c>
    </row>
    <row r="148">
      <c r="A148" s="17">
        <v>10</v>
      </c>
      <c r="B148" s="17" t="str">
        <v>Drenaje de absceso</v>
      </c>
      <c r="C148" s="14">
        <v>30</v>
      </c>
      <c r="D148" s="25">
        <v>5</v>
      </c>
      <c r="E148" s="25">
        <v>0</v>
      </c>
      <c r="F148" s="14">
        <v>32.94</v>
      </c>
      <c r="G148" s="6">
        <f>=(C148*((1+Parametros!$C$10)^MAX(0,($A148-1))))</f>
        <v>30</v>
      </c>
      <c r="H148" s="6">
        <f>=IF(($A148&gt;=Q148),(D148*((1+Parametros!$C$11)^MAX(0,($A148-Q148)))),0)</f>
        <v>5</v>
      </c>
      <c r="I148" s="6">
        <f>=Capacidad!$E$148</f>
        <v>5</v>
      </c>
      <c r="J148" s="6">
        <f>=(I148*12)</f>
        <v>60</v>
      </c>
      <c r="K148" s="6">
        <f>=(F148*((1+Parametros!$C$8)^MAX(0,($A148-1))))</f>
        <v>32.94</v>
      </c>
      <c r="L148" s="6">
        <f>=(G148*J148)</f>
        <v>1800</v>
      </c>
      <c r="M148" s="6">
        <f>=(K148*J148)</f>
        <v>1976.3999999999999</v>
      </c>
      <c r="N148" s="6">
        <f>=(L148-M148)</f>
        <v>-176.39999999999986</v>
      </c>
      <c r="O148" s="17">
        <v>0</v>
      </c>
      <c r="P148" s="21">
        <f>=Capacidad!$F$148</f>
        <v>0</v>
      </c>
      <c r="Q148" s="17">
        <v>1</v>
      </c>
      <c r="R148" s="23" t="str">
        <f>=IF(I148&lt;H148-0.000001,"LIMITADA","")</f>
        <v/>
      </c>
    </row>
    <row r="149">
      <c r="A149" s="17">
        <v>10</v>
      </c>
      <c r="B149" s="17" t="str">
        <v>Reparación de prótesis</v>
      </c>
      <c r="C149" s="14">
        <v>20</v>
      </c>
      <c r="D149" s="25">
        <v>5</v>
      </c>
      <c r="E149" s="25">
        <v>0</v>
      </c>
      <c r="F149" s="14">
        <v>21.96</v>
      </c>
      <c r="G149" s="6">
        <f>=(C149*((1+Parametros!$C$10)^MAX(0,($A149-1))))</f>
        <v>20</v>
      </c>
      <c r="H149" s="6">
        <f>=IF(($A149&gt;=Q149),(D149*((1+Parametros!$C$11)^MAX(0,($A149-Q149)))),0)</f>
        <v>5</v>
      </c>
      <c r="I149" s="6">
        <f>=Capacidad!$E$149</f>
        <v>5</v>
      </c>
      <c r="J149" s="6">
        <f>=(I149*12)</f>
        <v>60</v>
      </c>
      <c r="K149" s="6">
        <f>=(F149*((1+Parametros!$C$8)^MAX(0,($A149-1))))</f>
        <v>21.96</v>
      </c>
      <c r="L149" s="6">
        <f>=(G149*J149)</f>
        <v>1200</v>
      </c>
      <c r="M149" s="6">
        <f>=(K149*J149)</f>
        <v>1317.6000000000001</v>
      </c>
      <c r="N149" s="6">
        <f>=(L149-M149)</f>
        <v>-117.60000000000014</v>
      </c>
      <c r="O149" s="17">
        <v>0</v>
      </c>
      <c r="P149" s="21">
        <f>=Capacidad!$F$149</f>
        <v>0</v>
      </c>
      <c r="Q149" s="17">
        <v>1</v>
      </c>
      <c r="R149" s="23" t="str">
        <f>=IF(I149&lt;H149-0.000001,"LIMITADA","")</f>
        <v/>
      </c>
    </row>
    <row r="150">
      <c r="A150" s="17">
        <v>10</v>
      </c>
      <c r="B150" s="17" t="str">
        <v>Cura de óxido de zinc</v>
      </c>
      <c r="C150" s="14">
        <v>25</v>
      </c>
      <c r="D150" s="25">
        <v>25</v>
      </c>
      <c r="E150" s="25">
        <v>0</v>
      </c>
      <c r="F150" s="14">
        <v>27.45</v>
      </c>
      <c r="G150" s="6">
        <f>=(C150*((1+Parametros!$C$10)^MAX(0,($A150-1))))</f>
        <v>25</v>
      </c>
      <c r="H150" s="6">
        <f>=IF(($A150&gt;=Q150),(D150*((1+Parametros!$C$11)^MAX(0,($A150-Q150)))),0)</f>
        <v>25</v>
      </c>
      <c r="I150" s="6">
        <f>=Capacidad!$E$150</f>
        <v>25</v>
      </c>
      <c r="J150" s="6">
        <f>=(I150*12)</f>
        <v>300</v>
      </c>
      <c r="K150" s="6">
        <f>=(F150*((1+Parametros!$C$8)^MAX(0,($A150-1))))</f>
        <v>27.45</v>
      </c>
      <c r="L150" s="6">
        <f>=(G150*J150)</f>
        <v>7500</v>
      </c>
      <c r="M150" s="6">
        <f>=(K150*J150)</f>
        <v>8235</v>
      </c>
      <c r="N150" s="6">
        <f>=(L150-M150)</f>
        <v>-735</v>
      </c>
      <c r="O150" s="17">
        <v>0</v>
      </c>
      <c r="P150" s="21">
        <f>=Capacidad!$F$150</f>
        <v>0</v>
      </c>
      <c r="Q150" s="17">
        <v>1</v>
      </c>
      <c r="R150" s="23" t="str">
        <f>=IF(I150&lt;H150-0.000001,"LIMITADA","")</f>
        <v/>
      </c>
    </row>
    <row r="151">
      <c r="A151" s="17">
        <v>10</v>
      </c>
      <c r="B151" s="17" t="str">
        <v>Radiografía</v>
      </c>
      <c r="C151" s="14">
        <v>15</v>
      </c>
      <c r="D151" s="25">
        <v>30</v>
      </c>
      <c r="E151" s="25">
        <v>0</v>
      </c>
      <c r="F151" s="14">
        <v>16.47</v>
      </c>
      <c r="G151" s="6">
        <f>=(C151*((1+Parametros!$C$10)^MAX(0,($A151-1))))</f>
        <v>15</v>
      </c>
      <c r="H151" s="6">
        <f>=IF(($A151&gt;=Q151),(D151*((1+Parametros!$C$11)^MAX(0,($A151-Q151)))),0)</f>
        <v>30</v>
      </c>
      <c r="I151" s="6">
        <f>=Capacidad!$E$151</f>
        <v>30</v>
      </c>
      <c r="J151" s="6">
        <f>=(I151*12)</f>
        <v>360</v>
      </c>
      <c r="K151" s="6">
        <f>=(F151*((1+Parametros!$C$8)^MAX(0,($A151-1))))</f>
        <v>16.47</v>
      </c>
      <c r="L151" s="6">
        <f>=(G151*J151)</f>
        <v>5400</v>
      </c>
      <c r="M151" s="6">
        <f>=(K151*J151)</f>
        <v>5929.2</v>
      </c>
      <c r="N151" s="6">
        <f>=(L151-M151)</f>
        <v>-529.1999999999998</v>
      </c>
      <c r="O151" s="17">
        <v>0</v>
      </c>
      <c r="P151" s="21">
        <f>=Capacidad!$F$151</f>
        <v>0</v>
      </c>
      <c r="Q151" s="17">
        <v>1</v>
      </c>
      <c r="R151" s="23" t="str">
        <f>=IF(I151&lt;H151-0.000001,"LIMITADA","")</f>
        <v/>
      </c>
    </row>
    <row r="152">
      <c r="A152" s="17">
        <v>10</v>
      </c>
      <c r="B152" s="17" t="str">
        <v>Corona acrílica</v>
      </c>
      <c r="C152" s="14">
        <v>80</v>
      </c>
      <c r="D152" s="25">
        <v>10</v>
      </c>
      <c r="E152" s="25">
        <v>0</v>
      </c>
      <c r="F152" s="14">
        <v>87.84</v>
      </c>
      <c r="G152" s="6">
        <f>=(C152*((1+Parametros!$C$10)^MAX(0,($A152-1))))</f>
        <v>80</v>
      </c>
      <c r="H152" s="6">
        <f>=IF(($A152&gt;=Q152),(D152*((1+Parametros!$C$11)^MAX(0,($A152-Q152)))),0)</f>
        <v>10</v>
      </c>
      <c r="I152" s="6">
        <f>=Capacidad!$E$152</f>
        <v>10</v>
      </c>
      <c r="J152" s="6">
        <f>=(I152*12)</f>
        <v>120</v>
      </c>
      <c r="K152" s="6">
        <f>=(F152*((1+Parametros!$C$8)^MAX(0,($A152-1))))</f>
        <v>87.84</v>
      </c>
      <c r="L152" s="6">
        <f>=(G152*J152)</f>
        <v>9600</v>
      </c>
      <c r="M152" s="6">
        <f>=(K152*J152)</f>
        <v>10540.800000000001</v>
      </c>
      <c r="N152" s="6">
        <f>=(L152-M152)</f>
        <v>-940.8000000000011</v>
      </c>
      <c r="O152" s="17">
        <v>0</v>
      </c>
      <c r="P152" s="21">
        <f>=Capacidad!$F$152</f>
        <v>0</v>
      </c>
      <c r="Q152" s="17">
        <v>1</v>
      </c>
      <c r="R152" s="23" t="str">
        <f>=IF(I152&lt;H152-0.000001,"LIMITADA","")</f>
        <v/>
      </c>
    </row>
    <row r="153">
      <c r="A153" s="17">
        <v>10</v>
      </c>
      <c r="B153" s="17" t="str">
        <v>Blanqueamientos</v>
      </c>
      <c r="C153" s="14">
        <v>150</v>
      </c>
      <c r="D153" s="25">
        <v>10</v>
      </c>
      <c r="E153" s="25">
        <v>0</v>
      </c>
      <c r="F153" s="14">
        <v>164.7</v>
      </c>
      <c r="G153" s="6">
        <f>=(C153*((1+Parametros!$C$10)^MAX(0,($A153-1))))</f>
        <v>150</v>
      </c>
      <c r="H153" s="6">
        <f>=IF(($A153&gt;=Q153),(D153*((1+Parametros!$C$11)^MAX(0,($A153-Q153)))),0)</f>
        <v>10</v>
      </c>
      <c r="I153" s="6">
        <f>=Capacidad!$E$153</f>
        <v>10</v>
      </c>
      <c r="J153" s="6">
        <f>=(I153*12)</f>
        <v>120</v>
      </c>
      <c r="K153" s="6">
        <f>=(F153*((1+Parametros!$C$8)^MAX(0,($A153-1))))</f>
        <v>164.7</v>
      </c>
      <c r="L153" s="6">
        <f>=(G153*J153)</f>
        <v>18000</v>
      </c>
      <c r="M153" s="6">
        <f>=(K153*J153)</f>
        <v>19764</v>
      </c>
      <c r="N153" s="6">
        <f>=(L153-M153)</f>
        <v>-1764</v>
      </c>
      <c r="O153" s="17">
        <v>0</v>
      </c>
      <c r="P153" s="21">
        <f>=Capacidad!$F$153</f>
        <v>0</v>
      </c>
      <c r="Q153" s="17">
        <v>1</v>
      </c>
      <c r="R153" s="23" t="str">
        <f>=IF(I153&lt;H153-0.000001,"LIMITADA","")</f>
        <v/>
      </c>
    </row>
    <row r="155">
      <c r="A155" s="8" t="str">
        <v>Celdas ámbar = editables. Verdes = fórmulas. «LIMITADA» = la demanda prevista supera la capacidad del escenario activo y la producción queda limitada a lo atendible.</v>
      </c>
    </row>
  </sheetData>
  <autoFilter ref="A3:R153"/>
  <ignoredErrors>
    <ignoredError numberStoredAsText="1" sqref="A1:R155"/>
  </ignoredErrors>
</worksheet>
</file>

<file path=xl/worksheets/sheet10.xml><?xml version="1.0" encoding="utf-8"?>
<worksheet xmlns="http://schemas.openxmlformats.org/spreadsheetml/2006/main" xmlns:r="http://schemas.openxmlformats.org/officeDocument/2006/relationships">
  <dimension ref="A1:G56"/>
  <sheetViews>
    <sheetView workbookViewId="0"/>
  </sheetViews>
  <cols>
    <col min="1" max="1" width="6.83203125" customWidth="1"/>
    <col min="2" max="2" width="12.83203125" customWidth="1"/>
    <col min="3" max="3" width="22.83203125" customWidth="1"/>
    <col min="4" max="4" width="10.83203125" customWidth="1"/>
    <col min="5" max="5" width="22.83203125" customWidth="1"/>
    <col min="6" max="6" width="18.83203125" customWidth="1"/>
    <col min="7" max="7" width="16.83203125" customWidth="1"/>
  </cols>
  <sheetData>
    <row r="1">
      <c r="A1" s="3" t="str">
        <v>Fuerza de trabajo (4.9) — proyección por categoría y año</v>
      </c>
    </row>
    <row r="3">
      <c r="A3" s="10" t="str">
        <v>Año</v>
      </c>
      <c r="B3" s="10" t="str">
        <v>Etapa</v>
      </c>
      <c r="C3" s="10" t="str">
        <v>Grupo</v>
      </c>
      <c r="D3" s="10" t="str">
        <v>Cantidad</v>
      </c>
      <c r="E3" s="10" t="str">
        <v>Salario base anual (CUP)</v>
      </c>
      <c r="F3" s="10" t="str">
        <v>Salario proy. (CUP)</v>
      </c>
      <c r="G3" s="10" t="str">
        <v>Costo (CUP)</v>
      </c>
    </row>
    <row r="4">
      <c r="A4" s="17">
        <v>1</v>
      </c>
      <c r="B4" s="17" t="str">
        <v>operacion</v>
      </c>
      <c r="C4" s="17" t="str">
        <v>cubano_directivo</v>
      </c>
      <c r="D4" s="17">
        <v>1</v>
      </c>
      <c r="E4" s="25">
        <v>647628</v>
      </c>
      <c r="F4" s="12">
        <f>=(E4*((1+Parametros!$C$12)^MAX(0,($A4-1))))</f>
        <v>647628</v>
      </c>
      <c r="G4" s="12">
        <f>=D4*F4</f>
        <v>647628</v>
      </c>
    </row>
    <row r="5">
      <c r="A5" s="17">
        <v>1</v>
      </c>
      <c r="B5" s="17" t="str">
        <v>operacion</v>
      </c>
      <c r="C5" s="17" t="str">
        <v>cubano_otro</v>
      </c>
      <c r="D5" s="17">
        <v>4</v>
      </c>
      <c r="E5" s="25">
        <v>437142</v>
      </c>
      <c r="F5" s="12">
        <f>=(E5*((1+Parametros!$C$12)^MAX(0,($A5-1))))</f>
        <v>437142</v>
      </c>
      <c r="G5" s="12">
        <f>=D5*F5</f>
        <v>1748568</v>
      </c>
    </row>
    <row r="6">
      <c r="A6" s="17">
        <v>1</v>
      </c>
      <c r="B6" s="17" t="str">
        <v>operacion</v>
      </c>
      <c r="C6" s="17" t="str">
        <v>cubano_otro</v>
      </c>
      <c r="D6" s="17">
        <v>2</v>
      </c>
      <c r="E6" s="25">
        <v>518094</v>
      </c>
      <c r="F6" s="12">
        <f>=(E6*((1+Parametros!$C$12)^MAX(0,($A6-1))))</f>
        <v>518094</v>
      </c>
      <c r="G6" s="12">
        <f>=D6*F6</f>
        <v>1036188</v>
      </c>
    </row>
    <row r="7">
      <c r="A7" s="17">
        <v>1</v>
      </c>
      <c r="B7" s="17" t="str">
        <v>operacion</v>
      </c>
      <c r="C7" s="17" t="str">
        <v>cubano_otro</v>
      </c>
      <c r="D7" s="17">
        <v>2</v>
      </c>
      <c r="E7" s="25">
        <v>323808</v>
      </c>
      <c r="F7" s="12">
        <f>=(E7*((1+Parametros!$C$12)^MAX(0,($A7-1))))</f>
        <v>323808</v>
      </c>
      <c r="G7" s="12">
        <f>=D7*F7</f>
        <v>647616</v>
      </c>
    </row>
    <row r="8">
      <c r="A8" s="17">
        <v>1</v>
      </c>
      <c r="B8" s="17" t="str">
        <v>operacion</v>
      </c>
      <c r="C8" s="17" t="str">
        <v>extranjero_directivo</v>
      </c>
      <c r="D8" s="17">
        <v>1</v>
      </c>
      <c r="E8" s="25">
        <v>240000</v>
      </c>
      <c r="F8" s="12">
        <f>=(E8*((1+Parametros!$C$12)^MAX(0,($A8-1))))</f>
        <v>240000</v>
      </c>
      <c r="G8" s="12">
        <f>=D8*F8</f>
        <v>240000</v>
      </c>
    </row>
    <row r="9">
      <c r="A9" s="17">
        <v>2</v>
      </c>
      <c r="B9" s="17" t="str">
        <v>operacion</v>
      </c>
      <c r="C9" s="17" t="str">
        <v>cubano_directivo</v>
      </c>
      <c r="D9" s="17">
        <v>1</v>
      </c>
      <c r="E9" s="25">
        <v>647628</v>
      </c>
      <c r="F9" s="12">
        <f>=(E9*((1+Parametros!$C$12)^MAX(0,($A9-1))))</f>
        <v>647628</v>
      </c>
      <c r="G9" s="12">
        <f>=D9*F9</f>
        <v>647628</v>
      </c>
    </row>
    <row r="10">
      <c r="A10" s="17">
        <v>2</v>
      </c>
      <c r="B10" s="17" t="str">
        <v>operacion</v>
      </c>
      <c r="C10" s="17" t="str">
        <v>cubano_otro</v>
      </c>
      <c r="D10" s="17">
        <v>4</v>
      </c>
      <c r="E10" s="25">
        <v>437142</v>
      </c>
      <c r="F10" s="12">
        <f>=(E10*((1+Parametros!$C$12)^MAX(0,($A10-1))))</f>
        <v>437142</v>
      </c>
      <c r="G10" s="12">
        <f>=D10*F10</f>
        <v>1748568</v>
      </c>
    </row>
    <row r="11">
      <c r="A11" s="17">
        <v>2</v>
      </c>
      <c r="B11" s="17" t="str">
        <v>operacion</v>
      </c>
      <c r="C11" s="17" t="str">
        <v>cubano_otro</v>
      </c>
      <c r="D11" s="17">
        <v>2</v>
      </c>
      <c r="E11" s="25">
        <v>518094</v>
      </c>
      <c r="F11" s="12">
        <f>=(E11*((1+Parametros!$C$12)^MAX(0,($A11-1))))</f>
        <v>518094</v>
      </c>
      <c r="G11" s="12">
        <f>=D11*F11</f>
        <v>1036188</v>
      </c>
    </row>
    <row r="12">
      <c r="A12" s="17">
        <v>2</v>
      </c>
      <c r="B12" s="17" t="str">
        <v>operacion</v>
      </c>
      <c r="C12" s="17" t="str">
        <v>cubano_otro</v>
      </c>
      <c r="D12" s="17">
        <v>2</v>
      </c>
      <c r="E12" s="25">
        <v>323808</v>
      </c>
      <c r="F12" s="12">
        <f>=(E12*((1+Parametros!$C$12)^MAX(0,($A12-1))))</f>
        <v>323808</v>
      </c>
      <c r="G12" s="12">
        <f>=D12*F12</f>
        <v>647616</v>
      </c>
    </row>
    <row r="13">
      <c r="A13" s="17">
        <v>2</v>
      </c>
      <c r="B13" s="17" t="str">
        <v>operacion</v>
      </c>
      <c r="C13" s="17" t="str">
        <v>extranjero_directivo</v>
      </c>
      <c r="D13" s="17">
        <v>1</v>
      </c>
      <c r="E13" s="25">
        <v>240000</v>
      </c>
      <c r="F13" s="12">
        <f>=(E13*((1+Parametros!$C$12)^MAX(0,($A13-1))))</f>
        <v>240000</v>
      </c>
      <c r="G13" s="12">
        <f>=D13*F13</f>
        <v>240000</v>
      </c>
    </row>
    <row r="14">
      <c r="A14" s="17">
        <v>3</v>
      </c>
      <c r="B14" s="17" t="str">
        <v>operacion</v>
      </c>
      <c r="C14" s="17" t="str">
        <v>cubano_directivo</v>
      </c>
      <c r="D14" s="17">
        <v>1</v>
      </c>
      <c r="E14" s="25">
        <v>647628</v>
      </c>
      <c r="F14" s="12">
        <f>=(E14*((1+Parametros!$C$12)^MAX(0,($A14-1))))</f>
        <v>647628</v>
      </c>
      <c r="G14" s="12">
        <f>=D14*F14</f>
        <v>647628</v>
      </c>
    </row>
    <row r="15">
      <c r="A15" s="17">
        <v>3</v>
      </c>
      <c r="B15" s="17" t="str">
        <v>operacion</v>
      </c>
      <c r="C15" s="17" t="str">
        <v>cubano_otro</v>
      </c>
      <c r="D15" s="17">
        <v>4</v>
      </c>
      <c r="E15" s="25">
        <v>437142</v>
      </c>
      <c r="F15" s="12">
        <f>=(E15*((1+Parametros!$C$12)^MAX(0,($A15-1))))</f>
        <v>437142</v>
      </c>
      <c r="G15" s="12">
        <f>=D15*F15</f>
        <v>1748568</v>
      </c>
    </row>
    <row r="16">
      <c r="A16" s="17">
        <v>3</v>
      </c>
      <c r="B16" s="17" t="str">
        <v>operacion</v>
      </c>
      <c r="C16" s="17" t="str">
        <v>cubano_otro</v>
      </c>
      <c r="D16" s="17">
        <v>2</v>
      </c>
      <c r="E16" s="25">
        <v>518094</v>
      </c>
      <c r="F16" s="12">
        <f>=(E16*((1+Parametros!$C$12)^MAX(0,($A16-1))))</f>
        <v>518094</v>
      </c>
      <c r="G16" s="12">
        <f>=D16*F16</f>
        <v>1036188</v>
      </c>
    </row>
    <row r="17">
      <c r="A17" s="17">
        <v>3</v>
      </c>
      <c r="B17" s="17" t="str">
        <v>operacion</v>
      </c>
      <c r="C17" s="17" t="str">
        <v>cubano_otro</v>
      </c>
      <c r="D17" s="17">
        <v>2</v>
      </c>
      <c r="E17" s="25">
        <v>323808</v>
      </c>
      <c r="F17" s="12">
        <f>=(E17*((1+Parametros!$C$12)^MAX(0,($A17-1))))</f>
        <v>323808</v>
      </c>
      <c r="G17" s="12">
        <f>=D17*F17</f>
        <v>647616</v>
      </c>
    </row>
    <row r="18">
      <c r="A18" s="17">
        <v>3</v>
      </c>
      <c r="B18" s="17" t="str">
        <v>operacion</v>
      </c>
      <c r="C18" s="17" t="str">
        <v>extranjero_directivo</v>
      </c>
      <c r="D18" s="17">
        <v>1</v>
      </c>
      <c r="E18" s="25">
        <v>240000</v>
      </c>
      <c r="F18" s="12">
        <f>=(E18*((1+Parametros!$C$12)^MAX(0,($A18-1))))</f>
        <v>240000</v>
      </c>
      <c r="G18" s="12">
        <f>=D18*F18</f>
        <v>240000</v>
      </c>
    </row>
    <row r="19">
      <c r="A19" s="17">
        <v>4</v>
      </c>
      <c r="B19" s="17" t="str">
        <v>operacion</v>
      </c>
      <c r="C19" s="17" t="str">
        <v>cubano_directivo</v>
      </c>
      <c r="D19" s="17">
        <v>1</v>
      </c>
      <c r="E19" s="25">
        <v>647628</v>
      </c>
      <c r="F19" s="12">
        <f>=(E19*((1+Parametros!$C$12)^MAX(0,($A19-1))))</f>
        <v>647628</v>
      </c>
      <c r="G19" s="12">
        <f>=D19*F19</f>
        <v>647628</v>
      </c>
    </row>
    <row r="20">
      <c r="A20" s="17">
        <v>4</v>
      </c>
      <c r="B20" s="17" t="str">
        <v>operacion</v>
      </c>
      <c r="C20" s="17" t="str">
        <v>cubano_otro</v>
      </c>
      <c r="D20" s="17">
        <v>4</v>
      </c>
      <c r="E20" s="25">
        <v>437142</v>
      </c>
      <c r="F20" s="12">
        <f>=(E20*((1+Parametros!$C$12)^MAX(0,($A20-1))))</f>
        <v>437142</v>
      </c>
      <c r="G20" s="12">
        <f>=D20*F20</f>
        <v>1748568</v>
      </c>
    </row>
    <row r="21">
      <c r="A21" s="17">
        <v>4</v>
      </c>
      <c r="B21" s="17" t="str">
        <v>operacion</v>
      </c>
      <c r="C21" s="17" t="str">
        <v>cubano_otro</v>
      </c>
      <c r="D21" s="17">
        <v>2</v>
      </c>
      <c r="E21" s="25">
        <v>518094</v>
      </c>
      <c r="F21" s="12">
        <f>=(E21*((1+Parametros!$C$12)^MAX(0,($A21-1))))</f>
        <v>518094</v>
      </c>
      <c r="G21" s="12">
        <f>=D21*F21</f>
        <v>1036188</v>
      </c>
    </row>
    <row r="22">
      <c r="A22" s="17">
        <v>4</v>
      </c>
      <c r="B22" s="17" t="str">
        <v>operacion</v>
      </c>
      <c r="C22" s="17" t="str">
        <v>cubano_otro</v>
      </c>
      <c r="D22" s="17">
        <v>2</v>
      </c>
      <c r="E22" s="25">
        <v>323808</v>
      </c>
      <c r="F22" s="12">
        <f>=(E22*((1+Parametros!$C$12)^MAX(0,($A22-1))))</f>
        <v>323808</v>
      </c>
      <c r="G22" s="12">
        <f>=D22*F22</f>
        <v>647616</v>
      </c>
    </row>
    <row r="23">
      <c r="A23" s="17">
        <v>4</v>
      </c>
      <c r="B23" s="17" t="str">
        <v>operacion</v>
      </c>
      <c r="C23" s="17" t="str">
        <v>extranjero_directivo</v>
      </c>
      <c r="D23" s="17">
        <v>1</v>
      </c>
      <c r="E23" s="25">
        <v>240000</v>
      </c>
      <c r="F23" s="12">
        <f>=(E23*((1+Parametros!$C$12)^MAX(0,($A23-1))))</f>
        <v>240000</v>
      </c>
      <c r="G23" s="12">
        <f>=D23*F23</f>
        <v>240000</v>
      </c>
    </row>
    <row r="24">
      <c r="A24" s="17">
        <v>5</v>
      </c>
      <c r="B24" s="17" t="str">
        <v>operacion</v>
      </c>
      <c r="C24" s="17" t="str">
        <v>cubano_directivo</v>
      </c>
      <c r="D24" s="17">
        <v>1</v>
      </c>
      <c r="E24" s="25">
        <v>647628</v>
      </c>
      <c r="F24" s="12">
        <f>=(E24*((1+Parametros!$C$12)^MAX(0,($A24-1))))</f>
        <v>647628</v>
      </c>
      <c r="G24" s="12">
        <f>=D24*F24</f>
        <v>647628</v>
      </c>
    </row>
    <row r="25">
      <c r="A25" s="17">
        <v>5</v>
      </c>
      <c r="B25" s="17" t="str">
        <v>operacion</v>
      </c>
      <c r="C25" s="17" t="str">
        <v>cubano_otro</v>
      </c>
      <c r="D25" s="17">
        <v>4</v>
      </c>
      <c r="E25" s="25">
        <v>437142</v>
      </c>
      <c r="F25" s="12">
        <f>=(E25*((1+Parametros!$C$12)^MAX(0,($A25-1))))</f>
        <v>437142</v>
      </c>
      <c r="G25" s="12">
        <f>=D25*F25</f>
        <v>1748568</v>
      </c>
    </row>
    <row r="26">
      <c r="A26" s="17">
        <v>5</v>
      </c>
      <c r="B26" s="17" t="str">
        <v>operacion</v>
      </c>
      <c r="C26" s="17" t="str">
        <v>cubano_otro</v>
      </c>
      <c r="D26" s="17">
        <v>2</v>
      </c>
      <c r="E26" s="25">
        <v>518094</v>
      </c>
      <c r="F26" s="12">
        <f>=(E26*((1+Parametros!$C$12)^MAX(0,($A26-1))))</f>
        <v>518094</v>
      </c>
      <c r="G26" s="12">
        <f>=D26*F26</f>
        <v>1036188</v>
      </c>
    </row>
    <row r="27">
      <c r="A27" s="17">
        <v>5</v>
      </c>
      <c r="B27" s="17" t="str">
        <v>operacion</v>
      </c>
      <c r="C27" s="17" t="str">
        <v>cubano_otro</v>
      </c>
      <c r="D27" s="17">
        <v>2</v>
      </c>
      <c r="E27" s="25">
        <v>323808</v>
      </c>
      <c r="F27" s="12">
        <f>=(E27*((1+Parametros!$C$12)^MAX(0,($A27-1))))</f>
        <v>323808</v>
      </c>
      <c r="G27" s="12">
        <f>=D27*F27</f>
        <v>647616</v>
      </c>
    </row>
    <row r="28">
      <c r="A28" s="17">
        <v>5</v>
      </c>
      <c r="B28" s="17" t="str">
        <v>operacion</v>
      </c>
      <c r="C28" s="17" t="str">
        <v>extranjero_directivo</v>
      </c>
      <c r="D28" s="17">
        <v>1</v>
      </c>
      <c r="E28" s="25">
        <v>240000</v>
      </c>
      <c r="F28" s="12">
        <f>=(E28*((1+Parametros!$C$12)^MAX(0,($A28-1))))</f>
        <v>240000</v>
      </c>
      <c r="G28" s="12">
        <f>=D28*F28</f>
        <v>240000</v>
      </c>
    </row>
    <row r="29">
      <c r="A29" s="17">
        <v>6</v>
      </c>
      <c r="B29" s="17" t="str">
        <v>operacion</v>
      </c>
      <c r="C29" s="17" t="str">
        <v>cubano_directivo</v>
      </c>
      <c r="D29" s="17">
        <v>1</v>
      </c>
      <c r="E29" s="25">
        <v>647628</v>
      </c>
      <c r="F29" s="12">
        <f>=(E29*((1+Parametros!$C$12)^MAX(0,($A29-1))))</f>
        <v>647628</v>
      </c>
      <c r="G29" s="12">
        <f>=D29*F29</f>
        <v>647628</v>
      </c>
    </row>
    <row r="30">
      <c r="A30" s="17">
        <v>6</v>
      </c>
      <c r="B30" s="17" t="str">
        <v>operacion</v>
      </c>
      <c r="C30" s="17" t="str">
        <v>cubano_otro</v>
      </c>
      <c r="D30" s="17">
        <v>4</v>
      </c>
      <c r="E30" s="25">
        <v>437142</v>
      </c>
      <c r="F30" s="12">
        <f>=(E30*((1+Parametros!$C$12)^MAX(0,($A30-1))))</f>
        <v>437142</v>
      </c>
      <c r="G30" s="12">
        <f>=D30*F30</f>
        <v>1748568</v>
      </c>
    </row>
    <row r="31">
      <c r="A31" s="17">
        <v>6</v>
      </c>
      <c r="B31" s="17" t="str">
        <v>operacion</v>
      </c>
      <c r="C31" s="17" t="str">
        <v>cubano_otro</v>
      </c>
      <c r="D31" s="17">
        <v>2</v>
      </c>
      <c r="E31" s="25">
        <v>518094</v>
      </c>
      <c r="F31" s="12">
        <f>=(E31*((1+Parametros!$C$12)^MAX(0,($A31-1))))</f>
        <v>518094</v>
      </c>
      <c r="G31" s="12">
        <f>=D31*F31</f>
        <v>1036188</v>
      </c>
    </row>
    <row r="32">
      <c r="A32" s="17">
        <v>6</v>
      </c>
      <c r="B32" s="17" t="str">
        <v>operacion</v>
      </c>
      <c r="C32" s="17" t="str">
        <v>cubano_otro</v>
      </c>
      <c r="D32" s="17">
        <v>2</v>
      </c>
      <c r="E32" s="25">
        <v>323808</v>
      </c>
      <c r="F32" s="12">
        <f>=(E32*((1+Parametros!$C$12)^MAX(0,($A32-1))))</f>
        <v>323808</v>
      </c>
      <c r="G32" s="12">
        <f>=D32*F32</f>
        <v>647616</v>
      </c>
    </row>
    <row r="33">
      <c r="A33" s="17">
        <v>6</v>
      </c>
      <c r="B33" s="17" t="str">
        <v>operacion</v>
      </c>
      <c r="C33" s="17" t="str">
        <v>extranjero_directivo</v>
      </c>
      <c r="D33" s="17">
        <v>1</v>
      </c>
      <c r="E33" s="25">
        <v>240000</v>
      </c>
      <c r="F33" s="12">
        <f>=(E33*((1+Parametros!$C$12)^MAX(0,($A33-1))))</f>
        <v>240000</v>
      </c>
      <c r="G33" s="12">
        <f>=D33*F33</f>
        <v>240000</v>
      </c>
    </row>
    <row r="34">
      <c r="A34" s="17">
        <v>7</v>
      </c>
      <c r="B34" s="17" t="str">
        <v>operacion</v>
      </c>
      <c r="C34" s="17" t="str">
        <v>cubano_directivo</v>
      </c>
      <c r="D34" s="17">
        <v>1</v>
      </c>
      <c r="E34" s="25">
        <v>647628</v>
      </c>
      <c r="F34" s="12">
        <f>=(E34*((1+Parametros!$C$12)^MAX(0,($A34-1))))</f>
        <v>647628</v>
      </c>
      <c r="G34" s="12">
        <f>=D34*F34</f>
        <v>647628</v>
      </c>
    </row>
    <row r="35">
      <c r="A35" s="17">
        <v>7</v>
      </c>
      <c r="B35" s="17" t="str">
        <v>operacion</v>
      </c>
      <c r="C35" s="17" t="str">
        <v>cubano_otro</v>
      </c>
      <c r="D35" s="17">
        <v>4</v>
      </c>
      <c r="E35" s="25">
        <v>437142</v>
      </c>
      <c r="F35" s="12">
        <f>=(E35*((1+Parametros!$C$12)^MAX(0,($A35-1))))</f>
        <v>437142</v>
      </c>
      <c r="G35" s="12">
        <f>=D35*F35</f>
        <v>1748568</v>
      </c>
    </row>
    <row r="36">
      <c r="A36" s="17">
        <v>7</v>
      </c>
      <c r="B36" s="17" t="str">
        <v>operacion</v>
      </c>
      <c r="C36" s="17" t="str">
        <v>cubano_otro</v>
      </c>
      <c r="D36" s="17">
        <v>2</v>
      </c>
      <c r="E36" s="25">
        <v>518094</v>
      </c>
      <c r="F36" s="12">
        <f>=(E36*((1+Parametros!$C$12)^MAX(0,($A36-1))))</f>
        <v>518094</v>
      </c>
      <c r="G36" s="12">
        <f>=D36*F36</f>
        <v>1036188</v>
      </c>
    </row>
    <row r="37">
      <c r="A37" s="17">
        <v>7</v>
      </c>
      <c r="B37" s="17" t="str">
        <v>operacion</v>
      </c>
      <c r="C37" s="17" t="str">
        <v>cubano_otro</v>
      </c>
      <c r="D37" s="17">
        <v>2</v>
      </c>
      <c r="E37" s="25">
        <v>323808</v>
      </c>
      <c r="F37" s="12">
        <f>=(E37*((1+Parametros!$C$12)^MAX(0,($A37-1))))</f>
        <v>323808</v>
      </c>
      <c r="G37" s="12">
        <f>=D37*F37</f>
        <v>647616</v>
      </c>
    </row>
    <row r="38">
      <c r="A38" s="17">
        <v>7</v>
      </c>
      <c r="B38" s="17" t="str">
        <v>operacion</v>
      </c>
      <c r="C38" s="17" t="str">
        <v>extranjero_directivo</v>
      </c>
      <c r="D38" s="17">
        <v>1</v>
      </c>
      <c r="E38" s="25">
        <v>240000</v>
      </c>
      <c r="F38" s="12">
        <f>=(E38*((1+Parametros!$C$12)^MAX(0,($A38-1))))</f>
        <v>240000</v>
      </c>
      <c r="G38" s="12">
        <f>=D38*F38</f>
        <v>240000</v>
      </c>
    </row>
    <row r="39">
      <c r="A39" s="17">
        <v>8</v>
      </c>
      <c r="B39" s="17" t="str">
        <v>operacion</v>
      </c>
      <c r="C39" s="17" t="str">
        <v>cubano_directivo</v>
      </c>
      <c r="D39" s="17">
        <v>1</v>
      </c>
      <c r="E39" s="25">
        <v>647628</v>
      </c>
      <c r="F39" s="12">
        <f>=(E39*((1+Parametros!$C$12)^MAX(0,($A39-1))))</f>
        <v>647628</v>
      </c>
      <c r="G39" s="12">
        <f>=D39*F39</f>
        <v>647628</v>
      </c>
    </row>
    <row r="40">
      <c r="A40" s="17">
        <v>8</v>
      </c>
      <c r="B40" s="17" t="str">
        <v>operacion</v>
      </c>
      <c r="C40" s="17" t="str">
        <v>cubano_otro</v>
      </c>
      <c r="D40" s="17">
        <v>4</v>
      </c>
      <c r="E40" s="25">
        <v>437142</v>
      </c>
      <c r="F40" s="12">
        <f>=(E40*((1+Parametros!$C$12)^MAX(0,($A40-1))))</f>
        <v>437142</v>
      </c>
      <c r="G40" s="12">
        <f>=D40*F40</f>
        <v>1748568</v>
      </c>
    </row>
    <row r="41">
      <c r="A41" s="17">
        <v>8</v>
      </c>
      <c r="B41" s="17" t="str">
        <v>operacion</v>
      </c>
      <c r="C41" s="17" t="str">
        <v>cubano_otro</v>
      </c>
      <c r="D41" s="17">
        <v>2</v>
      </c>
      <c r="E41" s="25">
        <v>518094</v>
      </c>
      <c r="F41" s="12">
        <f>=(E41*((1+Parametros!$C$12)^MAX(0,($A41-1))))</f>
        <v>518094</v>
      </c>
      <c r="G41" s="12">
        <f>=D41*F41</f>
        <v>1036188</v>
      </c>
    </row>
    <row r="42">
      <c r="A42" s="17">
        <v>8</v>
      </c>
      <c r="B42" s="17" t="str">
        <v>operacion</v>
      </c>
      <c r="C42" s="17" t="str">
        <v>cubano_otro</v>
      </c>
      <c r="D42" s="17">
        <v>2</v>
      </c>
      <c r="E42" s="25">
        <v>323808</v>
      </c>
      <c r="F42" s="12">
        <f>=(E42*((1+Parametros!$C$12)^MAX(0,($A42-1))))</f>
        <v>323808</v>
      </c>
      <c r="G42" s="12">
        <f>=D42*F42</f>
        <v>647616</v>
      </c>
    </row>
    <row r="43">
      <c r="A43" s="17">
        <v>8</v>
      </c>
      <c r="B43" s="17" t="str">
        <v>operacion</v>
      </c>
      <c r="C43" s="17" t="str">
        <v>extranjero_directivo</v>
      </c>
      <c r="D43" s="17">
        <v>1</v>
      </c>
      <c r="E43" s="25">
        <v>240000</v>
      </c>
      <c r="F43" s="12">
        <f>=(E43*((1+Parametros!$C$12)^MAX(0,($A43-1))))</f>
        <v>240000</v>
      </c>
      <c r="G43" s="12">
        <f>=D43*F43</f>
        <v>240000</v>
      </c>
    </row>
    <row r="44">
      <c r="A44" s="17">
        <v>9</v>
      </c>
      <c r="B44" s="17" t="str">
        <v>operacion</v>
      </c>
      <c r="C44" s="17" t="str">
        <v>cubano_directivo</v>
      </c>
      <c r="D44" s="17">
        <v>1</v>
      </c>
      <c r="E44" s="25">
        <v>647628</v>
      </c>
      <c r="F44" s="12">
        <f>=(E44*((1+Parametros!$C$12)^MAX(0,($A44-1))))</f>
        <v>647628</v>
      </c>
      <c r="G44" s="12">
        <f>=D44*F44</f>
        <v>647628</v>
      </c>
    </row>
    <row r="45">
      <c r="A45" s="17">
        <v>9</v>
      </c>
      <c r="B45" s="17" t="str">
        <v>operacion</v>
      </c>
      <c r="C45" s="17" t="str">
        <v>cubano_otro</v>
      </c>
      <c r="D45" s="17">
        <v>4</v>
      </c>
      <c r="E45" s="25">
        <v>437142</v>
      </c>
      <c r="F45" s="12">
        <f>=(E45*((1+Parametros!$C$12)^MAX(0,($A45-1))))</f>
        <v>437142</v>
      </c>
      <c r="G45" s="12">
        <f>=D45*F45</f>
        <v>1748568</v>
      </c>
    </row>
    <row r="46">
      <c r="A46" s="17">
        <v>9</v>
      </c>
      <c r="B46" s="17" t="str">
        <v>operacion</v>
      </c>
      <c r="C46" s="17" t="str">
        <v>cubano_otro</v>
      </c>
      <c r="D46" s="17">
        <v>2</v>
      </c>
      <c r="E46" s="25">
        <v>518094</v>
      </c>
      <c r="F46" s="12">
        <f>=(E46*((1+Parametros!$C$12)^MAX(0,($A46-1))))</f>
        <v>518094</v>
      </c>
      <c r="G46" s="12">
        <f>=D46*F46</f>
        <v>1036188</v>
      </c>
    </row>
    <row r="47">
      <c r="A47" s="17">
        <v>9</v>
      </c>
      <c r="B47" s="17" t="str">
        <v>operacion</v>
      </c>
      <c r="C47" s="17" t="str">
        <v>cubano_otro</v>
      </c>
      <c r="D47" s="17">
        <v>2</v>
      </c>
      <c r="E47" s="25">
        <v>323808</v>
      </c>
      <c r="F47" s="12">
        <f>=(E47*((1+Parametros!$C$12)^MAX(0,($A47-1))))</f>
        <v>323808</v>
      </c>
      <c r="G47" s="12">
        <f>=D47*F47</f>
        <v>647616</v>
      </c>
    </row>
    <row r="48">
      <c r="A48" s="17">
        <v>9</v>
      </c>
      <c r="B48" s="17" t="str">
        <v>operacion</v>
      </c>
      <c r="C48" s="17" t="str">
        <v>extranjero_directivo</v>
      </c>
      <c r="D48" s="17">
        <v>1</v>
      </c>
      <c r="E48" s="25">
        <v>240000</v>
      </c>
      <c r="F48" s="12">
        <f>=(E48*((1+Parametros!$C$12)^MAX(0,($A48-1))))</f>
        <v>240000</v>
      </c>
      <c r="G48" s="12">
        <f>=D48*F48</f>
        <v>240000</v>
      </c>
    </row>
    <row r="49">
      <c r="A49" s="17">
        <v>10</v>
      </c>
      <c r="B49" s="17" t="str">
        <v>operacion</v>
      </c>
      <c r="C49" s="17" t="str">
        <v>cubano_directivo</v>
      </c>
      <c r="D49" s="17">
        <v>1</v>
      </c>
      <c r="E49" s="25">
        <v>647628</v>
      </c>
      <c r="F49" s="12">
        <f>=(E49*((1+Parametros!$C$12)^MAX(0,($A49-1))))</f>
        <v>647628</v>
      </c>
      <c r="G49" s="12">
        <f>=D49*F49</f>
        <v>647628</v>
      </c>
    </row>
    <row r="50">
      <c r="A50" s="17">
        <v>10</v>
      </c>
      <c r="B50" s="17" t="str">
        <v>operacion</v>
      </c>
      <c r="C50" s="17" t="str">
        <v>cubano_otro</v>
      </c>
      <c r="D50" s="17">
        <v>4</v>
      </c>
      <c r="E50" s="25">
        <v>437142</v>
      </c>
      <c r="F50" s="12">
        <f>=(E50*((1+Parametros!$C$12)^MAX(0,($A50-1))))</f>
        <v>437142</v>
      </c>
      <c r="G50" s="12">
        <f>=D50*F50</f>
        <v>1748568</v>
      </c>
    </row>
    <row r="51">
      <c r="A51" s="17">
        <v>10</v>
      </c>
      <c r="B51" s="17" t="str">
        <v>operacion</v>
      </c>
      <c r="C51" s="17" t="str">
        <v>cubano_otro</v>
      </c>
      <c r="D51" s="17">
        <v>2</v>
      </c>
      <c r="E51" s="25">
        <v>518094</v>
      </c>
      <c r="F51" s="12">
        <f>=(E51*((1+Parametros!$C$12)^MAX(0,($A51-1))))</f>
        <v>518094</v>
      </c>
      <c r="G51" s="12">
        <f>=D51*F51</f>
        <v>1036188</v>
      </c>
    </row>
    <row r="52">
      <c r="A52" s="17">
        <v>10</v>
      </c>
      <c r="B52" s="17" t="str">
        <v>operacion</v>
      </c>
      <c r="C52" s="17" t="str">
        <v>cubano_otro</v>
      </c>
      <c r="D52" s="17">
        <v>2</v>
      </c>
      <c r="E52" s="25">
        <v>323808</v>
      </c>
      <c r="F52" s="12">
        <f>=(E52*((1+Parametros!$C$12)^MAX(0,($A52-1))))</f>
        <v>323808</v>
      </c>
      <c r="G52" s="12">
        <f>=D52*F52</f>
        <v>647616</v>
      </c>
    </row>
    <row r="53">
      <c r="A53" s="17">
        <v>10</v>
      </c>
      <c r="B53" s="17" t="str">
        <v>operacion</v>
      </c>
      <c r="C53" s="17" t="str">
        <v>extranjero_directivo</v>
      </c>
      <c r="D53" s="17">
        <v>1</v>
      </c>
      <c r="E53" s="25">
        <v>240000</v>
      </c>
      <c r="F53" s="12">
        <f>=(E53*((1+Parametros!$C$12)^MAX(0,($A53-1))))</f>
        <v>240000</v>
      </c>
      <c r="G53" s="12">
        <f>=D53*F53</f>
        <v>240000</v>
      </c>
    </row>
    <row r="55">
      <c r="A55" s="8" t="str">
        <v>Nota: las filas de etapa «montaje» corresponden al año 0; las de «operación» a los años 1 en adelante.</v>
      </c>
    </row>
    <row r="56">
      <c r="A56" s="8" t="str">
        <v>Entidad autorizada a contratar la fuerza de trabajo: [Pendiente: entidad autorizada a contratar — brecha B-15; implícita CSMC, S.A. según el contrato.] El contrato prevé la contratación de la fuerza de trabajo cubana conforme a la legislación vigente y la revisión de currículos por el Consejo de Dirección (F01, cláusula 3).</v>
      </c>
    </row>
  </sheetData>
  <ignoredErrors>
    <ignoredError numberStoredAsText="1" sqref="A1:G56"/>
  </ignoredErrors>
</worksheet>
</file>

<file path=xl/worksheets/sheet11.xml><?xml version="1.0" encoding="utf-8"?>
<worksheet xmlns="http://schemas.openxmlformats.org/spreadsheetml/2006/main" xmlns:r="http://schemas.openxmlformats.org/officeDocument/2006/relationships">
  <dimension ref="A1:S165"/>
  <sheetViews>
    <sheetView workbookViewId="0"/>
  </sheetViews>
  <cols>
    <col min="1" max="1" width="8.83203125" customWidth="1"/>
    <col min="2" max="2" width="34.83203125" customWidth="1"/>
    <col min="3" max="3" width="13.83203125" customWidth="1"/>
    <col min="4" max="4" width="13.83203125" customWidth="1"/>
    <col min="5" max="5" width="14.83203125" customWidth="1"/>
    <col min="6" max="6" width="11.83203125" customWidth="1"/>
    <col min="7" max="7" width="11.83203125" customWidth="1"/>
    <col min="8" max="8" width="30.83203125" customWidth="1"/>
    <col min="9" max="9" width="11.83203125" customWidth="1"/>
    <col min="10" max="10" width="11.83203125" customWidth="1"/>
    <col min="11" max="11" width="11.83203125" customWidth="1"/>
    <col min="12" max="12" width="11.83203125" customWidth="1"/>
    <col min="13" max="13" width="11.83203125" customWidth="1"/>
    <col min="14" max="14" width="11.83203125" customWidth="1"/>
    <col min="15" max="15" width="11.83203125" customWidth="1"/>
    <col min="16" max="16" width="11.83203125" customWidth="1"/>
    <col min="17" max="17" width="11.83203125" customWidth="1"/>
    <col min="18" max="18" width="11.83203125" customWidth="1"/>
    <col min="19" max="19" width="11.83203125" customWidth="1"/>
  </cols>
  <sheetData>
    <row r="1">
      <c r="A1" s="3" t="str">
        <v>Capacidad operativa (misión §7) — recursos compartidos, escenarios y limitación</v>
      </c>
    </row>
    <row r="2">
      <c r="A2" s="8" t="str">
        <v>Escenario activo: A (capacidad constante; las ampliaciones definidas quedan ignoradas). Capacidad de cada recurso: unidades × horas/día × días/año × (1 − mantenimiento). Asignación pro-rata cuando varios servicios comparten un recurso.</v>
      </c>
    </row>
    <row r="3">
      <c r="A3" s="10" t="str">
        <v>Año</v>
      </c>
      <c r="B3" s="10" t="str">
        <v>Servicio</v>
      </c>
      <c r="C3" s="10" t="str">
        <v>Demanda mensual</v>
      </c>
      <c r="D3" s="10" t="str">
        <v>Capacidad mensual</v>
      </c>
      <c r="E3" s="10" t="str">
        <v>Cantidad real mensual</v>
      </c>
      <c r="F3" s="10" t="str">
        <v>Utilización</v>
      </c>
      <c r="G3" s="10" t="str">
        <v>Advertencia</v>
      </c>
    </row>
    <row r="4">
      <c r="A4" s="11">
        <f>=Servicios!$A$4</f>
        <v>1</v>
      </c>
      <c r="B4" s="23" t="str">
        <f>=Servicios!$B$4</f>
        <v>Tratamientos pulporadiculares (TPR)</v>
      </c>
      <c r="C4" s="6">
        <f>=Servicios!$H$4</f>
        <v>3</v>
      </c>
      <c r="D4" s="6">
        <f>=MIN(IF(Servicios!$E$4&gt;0,Servicios!$E$4,9.99E+99))</f>
        <v>3</v>
      </c>
      <c r="E4" s="6">
        <f>=MIN($C4*MIN(1),$D4)</f>
        <v>3</v>
      </c>
      <c r="F4" s="21">
        <f>=IF($D4&gt;0,$C4/$D4,0)</f>
        <v>0</v>
      </c>
      <c r="G4" s="23" t="str">
        <f>=IF($E4&lt;$C4-0.000001,"LIMITADA","")</f>
        <v/>
      </c>
    </row>
    <row r="5">
      <c r="A5" s="11">
        <f>=Servicios!$A$5</f>
        <v>1</v>
      </c>
      <c r="B5" s="23" t="str">
        <f>=Servicios!$B$5</f>
        <v>Obturaciones de resina</v>
      </c>
      <c r="C5" s="6">
        <f>=Servicios!$H$5</f>
        <v>15</v>
      </c>
      <c r="D5" s="6">
        <f>=MIN(IF(Servicios!$E$5&gt;0,Servicios!$E$5,9.99E+99))</f>
        <v>15</v>
      </c>
      <c r="E5" s="6">
        <f>=MIN($C5*MIN(1),$D5)</f>
        <v>15</v>
      </c>
      <c r="F5" s="21">
        <f>=IF($D5&gt;0,$C5/$D5,0)</f>
        <v>0</v>
      </c>
      <c r="G5" s="23" t="str">
        <f>=IF($E5&lt;$C5-0.000001,"LIMITADA","")</f>
        <v/>
      </c>
    </row>
    <row r="6">
      <c r="A6" s="11">
        <f>=Servicios!$A$6</f>
        <v>1</v>
      </c>
      <c r="B6" s="23" t="str">
        <f>=Servicios!$B$6</f>
        <v>Obturaciones de amalgamas</v>
      </c>
      <c r="C6" s="6">
        <f>=Servicios!$H$6</f>
        <v>15</v>
      </c>
      <c r="D6" s="6">
        <f>=MIN(IF(Servicios!$E$6&gt;0,Servicios!$E$6,9.99E+99))</f>
        <v>15</v>
      </c>
      <c r="E6" s="6">
        <f>=MIN($C6*MIN(1),$D6)</f>
        <v>15</v>
      </c>
      <c r="F6" s="21">
        <f>=IF($D6&gt;0,$C6/$D6,0)</f>
        <v>0</v>
      </c>
      <c r="G6" s="23" t="str">
        <f>=IF($E6&lt;$C6-0.000001,"LIMITADA","")</f>
        <v/>
      </c>
    </row>
    <row r="7">
      <c r="A7" s="11">
        <f>=Servicios!$A$7</f>
        <v>1</v>
      </c>
      <c r="B7" s="23" t="str">
        <f>=Servicios!$B$7</f>
        <v>Profilaxis con ultrasonido</v>
      </c>
      <c r="C7" s="6">
        <f>=Servicios!$H$7</f>
        <v>10</v>
      </c>
      <c r="D7" s="6">
        <f>=MIN(IF(Servicios!$E$7&gt;0,Servicios!$E$7,9.99E+99))</f>
        <v>10</v>
      </c>
      <c r="E7" s="6">
        <f>=MIN($C7*MIN(1),$D7)</f>
        <v>10</v>
      </c>
      <c r="F7" s="21">
        <f>=IF($D7&gt;0,$C7/$D7,0)</f>
        <v>0</v>
      </c>
      <c r="G7" s="23" t="str">
        <f>=IF($E7&lt;$C7-0.000001,"LIMITADA","")</f>
        <v/>
      </c>
    </row>
    <row r="8">
      <c r="A8" s="11">
        <f>=Servicios!$A$8</f>
        <v>1</v>
      </c>
      <c r="B8" s="23" t="str">
        <f>=Servicios!$B$8</f>
        <v>Prótesis</v>
      </c>
      <c r="C8" s="6">
        <f>=Servicios!$H$8</f>
        <v>15</v>
      </c>
      <c r="D8" s="6">
        <f>=MIN(IF(Servicios!$E$8&gt;0,Servicios!$E$8,9.99E+99))</f>
        <v>15</v>
      </c>
      <c r="E8" s="6">
        <f>=MIN($C8*MIN(1),$D8)</f>
        <v>15</v>
      </c>
      <c r="F8" s="21">
        <f>=IF($D8&gt;0,$C8/$D8,0)</f>
        <v>0</v>
      </c>
      <c r="G8" s="23" t="str">
        <f>=IF($E8&lt;$C8-0.000001,"LIMITADA","")</f>
        <v/>
      </c>
    </row>
    <row r="9">
      <c r="A9" s="11">
        <f>=Servicios!$A$9</f>
        <v>1</v>
      </c>
      <c r="B9" s="23" t="str">
        <f>=Servicios!$B$9</f>
        <v>Exodoncia</v>
      </c>
      <c r="C9" s="6">
        <f>=Servicios!$H$9</f>
        <v>10</v>
      </c>
      <c r="D9" s="6">
        <f>=MIN(IF(Servicios!$E$9&gt;0,Servicios!$E$9,9.99E+99))</f>
        <v>10</v>
      </c>
      <c r="E9" s="6">
        <f>=MIN($C9*MIN(1),$D9)</f>
        <v>10</v>
      </c>
      <c r="F9" s="21">
        <f>=IF($D9&gt;0,$C9/$D9,0)</f>
        <v>0</v>
      </c>
      <c r="G9" s="23" t="str">
        <f>=IF($E9&lt;$C9-0.000001,"LIMITADA","")</f>
        <v/>
      </c>
    </row>
    <row r="10">
      <c r="A10" s="11">
        <f>=Servicios!$A$10</f>
        <v>1</v>
      </c>
      <c r="B10" s="23" t="str">
        <f>=Servicios!$B$10</f>
        <v>Resedimentado de corona</v>
      </c>
      <c r="C10" s="6">
        <f>=Servicios!$H$10</f>
        <v>5</v>
      </c>
      <c r="D10" s="6">
        <f>=MIN(IF(Servicios!$E$10&gt;0,Servicios!$E$10,9.99E+99))</f>
        <v>5</v>
      </c>
      <c r="E10" s="6">
        <f>=MIN($C10*MIN(1),$D10)</f>
        <v>5</v>
      </c>
      <c r="F10" s="21">
        <f>=IF($D10&gt;0,$C10/$D10,0)</f>
        <v>0</v>
      </c>
      <c r="G10" s="23" t="str">
        <f>=IF($E10&lt;$C10-0.000001,"LIMITADA","")</f>
        <v/>
      </c>
    </row>
    <row r="11">
      <c r="A11" s="11">
        <f>=Servicios!$A$11</f>
        <v>1</v>
      </c>
      <c r="B11" s="23" t="str">
        <f>=Servicios!$B$11</f>
        <v>Corona y espiga acrílica</v>
      </c>
      <c r="C11" s="6">
        <f>=Servicios!$H$11</f>
        <v>5</v>
      </c>
      <c r="D11" s="6">
        <f>=MIN(IF(Servicios!$E$11&gt;0,Servicios!$E$11,9.99E+99))</f>
        <v>5</v>
      </c>
      <c r="E11" s="6">
        <f>=MIN($C11*MIN(1),$D11)</f>
        <v>5</v>
      </c>
      <c r="F11" s="21">
        <f>=IF($D11&gt;0,$C11/$D11,0)</f>
        <v>0</v>
      </c>
      <c r="G11" s="23" t="str">
        <f>=IF($E11&lt;$C11-0.000001,"LIMITADA","")</f>
        <v/>
      </c>
    </row>
    <row r="12">
      <c r="A12" s="11">
        <f>=Servicios!$A$12</f>
        <v>1</v>
      </c>
      <c r="B12" s="23" t="str">
        <f>=Servicios!$B$12</f>
        <v>Pulpotomía</v>
      </c>
      <c r="C12" s="6">
        <f>=Servicios!$H$12</f>
        <v>3</v>
      </c>
      <c r="D12" s="6">
        <f>=MIN(IF(Servicios!$E$12&gt;0,Servicios!$E$12,9.99E+99))</f>
        <v>3</v>
      </c>
      <c r="E12" s="6">
        <f>=MIN($C12*MIN(1),$D12)</f>
        <v>3</v>
      </c>
      <c r="F12" s="21">
        <f>=IF($D12&gt;0,$C12/$D12,0)</f>
        <v>0</v>
      </c>
      <c r="G12" s="23" t="str">
        <f>=IF($E12&lt;$C12-0.000001,"LIMITADA","")</f>
        <v/>
      </c>
    </row>
    <row r="13">
      <c r="A13" s="11">
        <f>=Servicios!$A$13</f>
        <v>1</v>
      </c>
      <c r="B13" s="23" t="str">
        <f>=Servicios!$B$13</f>
        <v>Drenaje de absceso</v>
      </c>
      <c r="C13" s="6">
        <f>=Servicios!$H$13</f>
        <v>5</v>
      </c>
      <c r="D13" s="6">
        <f>=MIN(IF(Servicios!$E$13&gt;0,Servicios!$E$13,9.99E+99))</f>
        <v>5</v>
      </c>
      <c r="E13" s="6">
        <f>=MIN($C13*MIN(1),$D13)</f>
        <v>5</v>
      </c>
      <c r="F13" s="21">
        <f>=IF($D13&gt;0,$C13/$D13,0)</f>
        <v>0</v>
      </c>
      <c r="G13" s="23" t="str">
        <f>=IF($E13&lt;$C13-0.000001,"LIMITADA","")</f>
        <v/>
      </c>
    </row>
    <row r="14">
      <c r="A14" s="11">
        <f>=Servicios!$A$14</f>
        <v>1</v>
      </c>
      <c r="B14" s="23" t="str">
        <f>=Servicios!$B$14</f>
        <v>Reparación de prótesis</v>
      </c>
      <c r="C14" s="6">
        <f>=Servicios!$H$14</f>
        <v>5</v>
      </c>
      <c r="D14" s="6">
        <f>=MIN(IF(Servicios!$E$14&gt;0,Servicios!$E$14,9.99E+99))</f>
        <v>5</v>
      </c>
      <c r="E14" s="6">
        <f>=MIN($C14*MIN(1),$D14)</f>
        <v>5</v>
      </c>
      <c r="F14" s="21">
        <f>=IF($D14&gt;0,$C14/$D14,0)</f>
        <v>0</v>
      </c>
      <c r="G14" s="23" t="str">
        <f>=IF($E14&lt;$C14-0.000001,"LIMITADA","")</f>
        <v/>
      </c>
    </row>
    <row r="15">
      <c r="A15" s="11">
        <f>=Servicios!$A$15</f>
        <v>1</v>
      </c>
      <c r="B15" s="23" t="str">
        <f>=Servicios!$B$15</f>
        <v>Cura de óxido de zinc</v>
      </c>
      <c r="C15" s="6">
        <f>=Servicios!$H$15</f>
        <v>25</v>
      </c>
      <c r="D15" s="6">
        <f>=MIN(IF(Servicios!$E$15&gt;0,Servicios!$E$15,9.99E+99))</f>
        <v>25</v>
      </c>
      <c r="E15" s="6">
        <f>=MIN($C15*MIN(1),$D15)</f>
        <v>25</v>
      </c>
      <c r="F15" s="21">
        <f>=IF($D15&gt;0,$C15/$D15,0)</f>
        <v>0</v>
      </c>
      <c r="G15" s="23" t="str">
        <f>=IF($E15&lt;$C15-0.000001,"LIMITADA","")</f>
        <v/>
      </c>
    </row>
    <row r="16">
      <c r="A16" s="11">
        <f>=Servicios!$A$16</f>
        <v>1</v>
      </c>
      <c r="B16" s="23" t="str">
        <f>=Servicios!$B$16</f>
        <v>Radiografía</v>
      </c>
      <c r="C16" s="6">
        <f>=Servicios!$H$16</f>
        <v>30</v>
      </c>
      <c r="D16" s="6">
        <f>=MIN(IF(Servicios!$E$16&gt;0,Servicios!$E$16,9.99E+99))</f>
        <v>30</v>
      </c>
      <c r="E16" s="6">
        <f>=MIN($C16*MIN(1),$D16)</f>
        <v>30</v>
      </c>
      <c r="F16" s="21">
        <f>=IF($D16&gt;0,$C16/$D16,0)</f>
        <v>0</v>
      </c>
      <c r="G16" s="23" t="str">
        <f>=IF($E16&lt;$C16-0.000001,"LIMITADA","")</f>
        <v/>
      </c>
    </row>
    <row r="17">
      <c r="A17" s="11">
        <f>=Servicios!$A$17</f>
        <v>1</v>
      </c>
      <c r="B17" s="23" t="str">
        <f>=Servicios!$B$17</f>
        <v>Corona acrílica</v>
      </c>
      <c r="C17" s="6">
        <f>=Servicios!$H$17</f>
        <v>10</v>
      </c>
      <c r="D17" s="6">
        <f>=MIN(IF(Servicios!$E$17&gt;0,Servicios!$E$17,9.99E+99))</f>
        <v>10</v>
      </c>
      <c r="E17" s="6">
        <f>=MIN($C17*MIN(1),$D17)</f>
        <v>10</v>
      </c>
      <c r="F17" s="21">
        <f>=IF($D17&gt;0,$C17/$D17,0)</f>
        <v>0</v>
      </c>
      <c r="G17" s="23" t="str">
        <f>=IF($E17&lt;$C17-0.000001,"LIMITADA","")</f>
        <v/>
      </c>
    </row>
    <row r="18">
      <c r="A18" s="11">
        <f>=Servicios!$A$18</f>
        <v>1</v>
      </c>
      <c r="B18" s="23" t="str">
        <f>=Servicios!$B$18</f>
        <v>Blanqueamientos</v>
      </c>
      <c r="C18" s="6">
        <f>=Servicios!$H$18</f>
        <v>10</v>
      </c>
      <c r="D18" s="6">
        <f>=MIN(IF(Servicios!$E$18&gt;0,Servicios!$E$18,9.99E+99))</f>
        <v>10</v>
      </c>
      <c r="E18" s="6">
        <f>=MIN($C18*MIN(1),$D18)</f>
        <v>10</v>
      </c>
      <c r="F18" s="21">
        <f>=IF($D18&gt;0,$C18/$D18,0)</f>
        <v>0</v>
      </c>
      <c r="G18" s="23" t="str">
        <f>=IF($E18&lt;$C18-0.000001,"LIMITADA","")</f>
        <v/>
      </c>
    </row>
    <row r="19">
      <c r="A19" s="11">
        <f>=Servicios!$A$19</f>
        <v>2</v>
      </c>
      <c r="B19" s="23" t="str">
        <f>=Servicios!$B$19</f>
        <v>Tratamientos pulporadiculares (TPR)</v>
      </c>
      <c r="C19" s="6">
        <f>=Servicios!$H$19</f>
        <v>3</v>
      </c>
      <c r="D19" s="6">
        <f>=MIN(IF(Servicios!$E$19&gt;0,Servicios!$E$19,9.99E+99))</f>
        <v>3</v>
      </c>
      <c r="E19" s="6">
        <f>=MIN($C19*MIN(1),$D19)</f>
        <v>3</v>
      </c>
      <c r="F19" s="21">
        <f>=IF($D19&gt;0,$C19/$D19,0)</f>
        <v>0</v>
      </c>
      <c r="G19" s="23" t="str">
        <f>=IF($E19&lt;$C19-0.000001,"LIMITADA","")</f>
        <v/>
      </c>
    </row>
    <row r="20">
      <c r="A20" s="11">
        <f>=Servicios!$A$20</f>
        <v>2</v>
      </c>
      <c r="B20" s="23" t="str">
        <f>=Servicios!$B$20</f>
        <v>Obturaciones de resina</v>
      </c>
      <c r="C20" s="6">
        <f>=Servicios!$H$20</f>
        <v>15</v>
      </c>
      <c r="D20" s="6">
        <f>=MIN(IF(Servicios!$E$20&gt;0,Servicios!$E$20,9.99E+99))</f>
        <v>15</v>
      </c>
      <c r="E20" s="6">
        <f>=MIN($C20*MIN(1),$D20)</f>
        <v>15</v>
      </c>
      <c r="F20" s="21">
        <f>=IF($D20&gt;0,$C20/$D20,0)</f>
        <v>0</v>
      </c>
      <c r="G20" s="23" t="str">
        <f>=IF($E20&lt;$C20-0.000001,"LIMITADA","")</f>
        <v/>
      </c>
    </row>
    <row r="21">
      <c r="A21" s="11">
        <f>=Servicios!$A$21</f>
        <v>2</v>
      </c>
      <c r="B21" s="23" t="str">
        <f>=Servicios!$B$21</f>
        <v>Obturaciones de amalgamas</v>
      </c>
      <c r="C21" s="6">
        <f>=Servicios!$H$21</f>
        <v>15</v>
      </c>
      <c r="D21" s="6">
        <f>=MIN(IF(Servicios!$E$21&gt;0,Servicios!$E$21,9.99E+99))</f>
        <v>15</v>
      </c>
      <c r="E21" s="6">
        <f>=MIN($C21*MIN(1),$D21)</f>
        <v>15</v>
      </c>
      <c r="F21" s="21">
        <f>=IF($D21&gt;0,$C21/$D21,0)</f>
        <v>0</v>
      </c>
      <c r="G21" s="23" t="str">
        <f>=IF($E21&lt;$C21-0.000001,"LIMITADA","")</f>
        <v/>
      </c>
    </row>
    <row r="22">
      <c r="A22" s="11">
        <f>=Servicios!$A$22</f>
        <v>2</v>
      </c>
      <c r="B22" s="23" t="str">
        <f>=Servicios!$B$22</f>
        <v>Profilaxis con ultrasonido</v>
      </c>
      <c r="C22" s="6">
        <f>=Servicios!$H$22</f>
        <v>10</v>
      </c>
      <c r="D22" s="6">
        <f>=MIN(IF(Servicios!$E$22&gt;0,Servicios!$E$22,9.99E+99))</f>
        <v>10</v>
      </c>
      <c r="E22" s="6">
        <f>=MIN($C22*MIN(1),$D22)</f>
        <v>10</v>
      </c>
      <c r="F22" s="21">
        <f>=IF($D22&gt;0,$C22/$D22,0)</f>
        <v>0</v>
      </c>
      <c r="G22" s="23" t="str">
        <f>=IF($E22&lt;$C22-0.000001,"LIMITADA","")</f>
        <v/>
      </c>
    </row>
    <row r="23">
      <c r="A23" s="11">
        <f>=Servicios!$A$23</f>
        <v>2</v>
      </c>
      <c r="B23" s="23" t="str">
        <f>=Servicios!$B$23</f>
        <v>Prótesis</v>
      </c>
      <c r="C23" s="6">
        <f>=Servicios!$H$23</f>
        <v>15</v>
      </c>
      <c r="D23" s="6">
        <f>=MIN(IF(Servicios!$E$23&gt;0,Servicios!$E$23,9.99E+99))</f>
        <v>15</v>
      </c>
      <c r="E23" s="6">
        <f>=MIN($C23*MIN(1),$D23)</f>
        <v>15</v>
      </c>
      <c r="F23" s="21">
        <f>=IF($D23&gt;0,$C23/$D23,0)</f>
        <v>0</v>
      </c>
      <c r="G23" s="23" t="str">
        <f>=IF($E23&lt;$C23-0.000001,"LIMITADA","")</f>
        <v/>
      </c>
    </row>
    <row r="24">
      <c r="A24" s="11">
        <f>=Servicios!$A$24</f>
        <v>2</v>
      </c>
      <c r="B24" s="23" t="str">
        <f>=Servicios!$B$24</f>
        <v>Exodoncia</v>
      </c>
      <c r="C24" s="6">
        <f>=Servicios!$H$24</f>
        <v>10</v>
      </c>
      <c r="D24" s="6">
        <f>=MIN(IF(Servicios!$E$24&gt;0,Servicios!$E$24,9.99E+99))</f>
        <v>10</v>
      </c>
      <c r="E24" s="6">
        <f>=MIN($C24*MIN(1),$D24)</f>
        <v>10</v>
      </c>
      <c r="F24" s="21">
        <f>=IF($D24&gt;0,$C24/$D24,0)</f>
        <v>0</v>
      </c>
      <c r="G24" s="23" t="str">
        <f>=IF($E24&lt;$C24-0.000001,"LIMITADA","")</f>
        <v/>
      </c>
    </row>
    <row r="25">
      <c r="A25" s="11">
        <f>=Servicios!$A$25</f>
        <v>2</v>
      </c>
      <c r="B25" s="23" t="str">
        <f>=Servicios!$B$25</f>
        <v>Resedimentado de corona</v>
      </c>
      <c r="C25" s="6">
        <f>=Servicios!$H$25</f>
        <v>5</v>
      </c>
      <c r="D25" s="6">
        <f>=MIN(IF(Servicios!$E$25&gt;0,Servicios!$E$25,9.99E+99))</f>
        <v>5</v>
      </c>
      <c r="E25" s="6">
        <f>=MIN($C25*MIN(1),$D25)</f>
        <v>5</v>
      </c>
      <c r="F25" s="21">
        <f>=IF($D25&gt;0,$C25/$D25,0)</f>
        <v>0</v>
      </c>
      <c r="G25" s="23" t="str">
        <f>=IF($E25&lt;$C25-0.000001,"LIMITADA","")</f>
        <v/>
      </c>
    </row>
    <row r="26">
      <c r="A26" s="11">
        <f>=Servicios!$A$26</f>
        <v>2</v>
      </c>
      <c r="B26" s="23" t="str">
        <f>=Servicios!$B$26</f>
        <v>Corona y espiga acrílica</v>
      </c>
      <c r="C26" s="6">
        <f>=Servicios!$H$26</f>
        <v>5</v>
      </c>
      <c r="D26" s="6">
        <f>=MIN(IF(Servicios!$E$26&gt;0,Servicios!$E$26,9.99E+99))</f>
        <v>5</v>
      </c>
      <c r="E26" s="6">
        <f>=MIN($C26*MIN(1),$D26)</f>
        <v>5</v>
      </c>
      <c r="F26" s="21">
        <f>=IF($D26&gt;0,$C26/$D26,0)</f>
        <v>0</v>
      </c>
      <c r="G26" s="23" t="str">
        <f>=IF($E26&lt;$C26-0.000001,"LIMITADA","")</f>
        <v/>
      </c>
    </row>
    <row r="27">
      <c r="A27" s="11">
        <f>=Servicios!$A$27</f>
        <v>2</v>
      </c>
      <c r="B27" s="23" t="str">
        <f>=Servicios!$B$27</f>
        <v>Pulpotomía</v>
      </c>
      <c r="C27" s="6">
        <f>=Servicios!$H$27</f>
        <v>3</v>
      </c>
      <c r="D27" s="6">
        <f>=MIN(IF(Servicios!$E$27&gt;0,Servicios!$E$27,9.99E+99))</f>
        <v>3</v>
      </c>
      <c r="E27" s="6">
        <f>=MIN($C27*MIN(1),$D27)</f>
        <v>3</v>
      </c>
      <c r="F27" s="21">
        <f>=IF($D27&gt;0,$C27/$D27,0)</f>
        <v>0</v>
      </c>
      <c r="G27" s="23" t="str">
        <f>=IF($E27&lt;$C27-0.000001,"LIMITADA","")</f>
        <v/>
      </c>
    </row>
    <row r="28">
      <c r="A28" s="11">
        <f>=Servicios!$A$28</f>
        <v>2</v>
      </c>
      <c r="B28" s="23" t="str">
        <f>=Servicios!$B$28</f>
        <v>Drenaje de absceso</v>
      </c>
      <c r="C28" s="6">
        <f>=Servicios!$H$28</f>
        <v>5</v>
      </c>
      <c r="D28" s="6">
        <f>=MIN(IF(Servicios!$E$28&gt;0,Servicios!$E$28,9.99E+99))</f>
        <v>5</v>
      </c>
      <c r="E28" s="6">
        <f>=MIN($C28*MIN(1),$D28)</f>
        <v>5</v>
      </c>
      <c r="F28" s="21">
        <f>=IF($D28&gt;0,$C28/$D28,0)</f>
        <v>0</v>
      </c>
      <c r="G28" s="23" t="str">
        <f>=IF($E28&lt;$C28-0.000001,"LIMITADA","")</f>
        <v/>
      </c>
    </row>
    <row r="29">
      <c r="A29" s="11">
        <f>=Servicios!$A$29</f>
        <v>2</v>
      </c>
      <c r="B29" s="23" t="str">
        <f>=Servicios!$B$29</f>
        <v>Reparación de prótesis</v>
      </c>
      <c r="C29" s="6">
        <f>=Servicios!$H$29</f>
        <v>5</v>
      </c>
      <c r="D29" s="6">
        <f>=MIN(IF(Servicios!$E$29&gt;0,Servicios!$E$29,9.99E+99))</f>
        <v>5</v>
      </c>
      <c r="E29" s="6">
        <f>=MIN($C29*MIN(1),$D29)</f>
        <v>5</v>
      </c>
      <c r="F29" s="21">
        <f>=IF($D29&gt;0,$C29/$D29,0)</f>
        <v>0</v>
      </c>
      <c r="G29" s="23" t="str">
        <f>=IF($E29&lt;$C29-0.000001,"LIMITADA","")</f>
        <v/>
      </c>
    </row>
    <row r="30">
      <c r="A30" s="11">
        <f>=Servicios!$A$30</f>
        <v>2</v>
      </c>
      <c r="B30" s="23" t="str">
        <f>=Servicios!$B$30</f>
        <v>Cura de óxido de zinc</v>
      </c>
      <c r="C30" s="6">
        <f>=Servicios!$H$30</f>
        <v>25</v>
      </c>
      <c r="D30" s="6">
        <f>=MIN(IF(Servicios!$E$30&gt;0,Servicios!$E$30,9.99E+99))</f>
        <v>25</v>
      </c>
      <c r="E30" s="6">
        <f>=MIN($C30*MIN(1),$D30)</f>
        <v>25</v>
      </c>
      <c r="F30" s="21">
        <f>=IF($D30&gt;0,$C30/$D30,0)</f>
        <v>0</v>
      </c>
      <c r="G30" s="23" t="str">
        <f>=IF($E30&lt;$C30-0.000001,"LIMITADA","")</f>
        <v/>
      </c>
    </row>
    <row r="31">
      <c r="A31" s="11">
        <f>=Servicios!$A$31</f>
        <v>2</v>
      </c>
      <c r="B31" s="23" t="str">
        <f>=Servicios!$B$31</f>
        <v>Radiografía</v>
      </c>
      <c r="C31" s="6">
        <f>=Servicios!$H$31</f>
        <v>30</v>
      </c>
      <c r="D31" s="6">
        <f>=MIN(IF(Servicios!$E$31&gt;0,Servicios!$E$31,9.99E+99))</f>
        <v>30</v>
      </c>
      <c r="E31" s="6">
        <f>=MIN($C31*MIN(1),$D31)</f>
        <v>30</v>
      </c>
      <c r="F31" s="21">
        <f>=IF($D31&gt;0,$C31/$D31,0)</f>
        <v>0</v>
      </c>
      <c r="G31" s="23" t="str">
        <f>=IF($E31&lt;$C31-0.000001,"LIMITADA","")</f>
        <v/>
      </c>
    </row>
    <row r="32">
      <c r="A32" s="11">
        <f>=Servicios!$A$32</f>
        <v>2</v>
      </c>
      <c r="B32" s="23" t="str">
        <f>=Servicios!$B$32</f>
        <v>Corona acrílica</v>
      </c>
      <c r="C32" s="6">
        <f>=Servicios!$H$32</f>
        <v>10</v>
      </c>
      <c r="D32" s="6">
        <f>=MIN(IF(Servicios!$E$32&gt;0,Servicios!$E$32,9.99E+99))</f>
        <v>10</v>
      </c>
      <c r="E32" s="6">
        <f>=MIN($C32*MIN(1),$D32)</f>
        <v>10</v>
      </c>
      <c r="F32" s="21">
        <f>=IF($D32&gt;0,$C32/$D32,0)</f>
        <v>0</v>
      </c>
      <c r="G32" s="23" t="str">
        <f>=IF($E32&lt;$C32-0.000001,"LIMITADA","")</f>
        <v/>
      </c>
    </row>
    <row r="33">
      <c r="A33" s="11">
        <f>=Servicios!$A$33</f>
        <v>2</v>
      </c>
      <c r="B33" s="23" t="str">
        <f>=Servicios!$B$33</f>
        <v>Blanqueamientos</v>
      </c>
      <c r="C33" s="6">
        <f>=Servicios!$H$33</f>
        <v>10</v>
      </c>
      <c r="D33" s="6">
        <f>=MIN(IF(Servicios!$E$33&gt;0,Servicios!$E$33,9.99E+99))</f>
        <v>10</v>
      </c>
      <c r="E33" s="6">
        <f>=MIN($C33*MIN(1),$D33)</f>
        <v>10</v>
      </c>
      <c r="F33" s="21">
        <f>=IF($D33&gt;0,$C33/$D33,0)</f>
        <v>0</v>
      </c>
      <c r="G33" s="23" t="str">
        <f>=IF($E33&lt;$C33-0.000001,"LIMITADA","")</f>
        <v/>
      </c>
    </row>
    <row r="34">
      <c r="A34" s="11">
        <f>=Servicios!$A$34</f>
        <v>3</v>
      </c>
      <c r="B34" s="23" t="str">
        <f>=Servicios!$B$34</f>
        <v>Tratamientos pulporadiculares (TPR)</v>
      </c>
      <c r="C34" s="6">
        <f>=Servicios!$H$34</f>
        <v>3</v>
      </c>
      <c r="D34" s="6">
        <f>=MIN(IF(Servicios!$E$34&gt;0,Servicios!$E$34,9.99E+99))</f>
        <v>3</v>
      </c>
      <c r="E34" s="6">
        <f>=MIN($C34*MIN(1),$D34)</f>
        <v>3</v>
      </c>
      <c r="F34" s="21">
        <f>=IF($D34&gt;0,$C34/$D34,0)</f>
        <v>0</v>
      </c>
      <c r="G34" s="23" t="str">
        <f>=IF($E34&lt;$C34-0.000001,"LIMITADA","")</f>
        <v/>
      </c>
    </row>
    <row r="35">
      <c r="A35" s="11">
        <f>=Servicios!$A$35</f>
        <v>3</v>
      </c>
      <c r="B35" s="23" t="str">
        <f>=Servicios!$B$35</f>
        <v>Obturaciones de resina</v>
      </c>
      <c r="C35" s="6">
        <f>=Servicios!$H$35</f>
        <v>15</v>
      </c>
      <c r="D35" s="6">
        <f>=MIN(IF(Servicios!$E$35&gt;0,Servicios!$E$35,9.99E+99))</f>
        <v>15</v>
      </c>
      <c r="E35" s="6">
        <f>=MIN($C35*MIN(1),$D35)</f>
        <v>15</v>
      </c>
      <c r="F35" s="21">
        <f>=IF($D35&gt;0,$C35/$D35,0)</f>
        <v>0</v>
      </c>
      <c r="G35" s="23" t="str">
        <f>=IF($E35&lt;$C35-0.000001,"LIMITADA","")</f>
        <v/>
      </c>
    </row>
    <row r="36">
      <c r="A36" s="11">
        <f>=Servicios!$A$36</f>
        <v>3</v>
      </c>
      <c r="B36" s="23" t="str">
        <f>=Servicios!$B$36</f>
        <v>Obturaciones de amalgamas</v>
      </c>
      <c r="C36" s="6">
        <f>=Servicios!$H$36</f>
        <v>15</v>
      </c>
      <c r="D36" s="6">
        <f>=MIN(IF(Servicios!$E$36&gt;0,Servicios!$E$36,9.99E+99))</f>
        <v>15</v>
      </c>
      <c r="E36" s="6">
        <f>=MIN($C36*MIN(1),$D36)</f>
        <v>15</v>
      </c>
      <c r="F36" s="21">
        <f>=IF($D36&gt;0,$C36/$D36,0)</f>
        <v>0</v>
      </c>
      <c r="G36" s="23" t="str">
        <f>=IF($E36&lt;$C36-0.000001,"LIMITADA","")</f>
        <v/>
      </c>
    </row>
    <row r="37">
      <c r="A37" s="11">
        <f>=Servicios!$A$37</f>
        <v>3</v>
      </c>
      <c r="B37" s="23" t="str">
        <f>=Servicios!$B$37</f>
        <v>Profilaxis con ultrasonido</v>
      </c>
      <c r="C37" s="6">
        <f>=Servicios!$H$37</f>
        <v>10</v>
      </c>
      <c r="D37" s="6">
        <f>=MIN(IF(Servicios!$E$37&gt;0,Servicios!$E$37,9.99E+99))</f>
        <v>10</v>
      </c>
      <c r="E37" s="6">
        <f>=MIN($C37*MIN(1),$D37)</f>
        <v>10</v>
      </c>
      <c r="F37" s="21">
        <f>=IF($D37&gt;0,$C37/$D37,0)</f>
        <v>0</v>
      </c>
      <c r="G37" s="23" t="str">
        <f>=IF($E37&lt;$C37-0.000001,"LIMITADA","")</f>
        <v/>
      </c>
    </row>
    <row r="38">
      <c r="A38" s="11">
        <f>=Servicios!$A$38</f>
        <v>3</v>
      </c>
      <c r="B38" s="23" t="str">
        <f>=Servicios!$B$38</f>
        <v>Prótesis</v>
      </c>
      <c r="C38" s="6">
        <f>=Servicios!$H$38</f>
        <v>15</v>
      </c>
      <c r="D38" s="6">
        <f>=MIN(IF(Servicios!$E$38&gt;0,Servicios!$E$38,9.99E+99))</f>
        <v>15</v>
      </c>
      <c r="E38" s="6">
        <f>=MIN($C38*MIN(1),$D38)</f>
        <v>15</v>
      </c>
      <c r="F38" s="21">
        <f>=IF($D38&gt;0,$C38/$D38,0)</f>
        <v>0</v>
      </c>
      <c r="G38" s="23" t="str">
        <f>=IF($E38&lt;$C38-0.000001,"LIMITADA","")</f>
        <v/>
      </c>
    </row>
    <row r="39">
      <c r="A39" s="11">
        <f>=Servicios!$A$39</f>
        <v>3</v>
      </c>
      <c r="B39" s="23" t="str">
        <f>=Servicios!$B$39</f>
        <v>Exodoncia</v>
      </c>
      <c r="C39" s="6">
        <f>=Servicios!$H$39</f>
        <v>10</v>
      </c>
      <c r="D39" s="6">
        <f>=MIN(IF(Servicios!$E$39&gt;0,Servicios!$E$39,9.99E+99))</f>
        <v>10</v>
      </c>
      <c r="E39" s="6">
        <f>=MIN($C39*MIN(1),$D39)</f>
        <v>10</v>
      </c>
      <c r="F39" s="21">
        <f>=IF($D39&gt;0,$C39/$D39,0)</f>
        <v>0</v>
      </c>
      <c r="G39" s="23" t="str">
        <f>=IF($E39&lt;$C39-0.000001,"LIMITADA","")</f>
        <v/>
      </c>
    </row>
    <row r="40">
      <c r="A40" s="11">
        <f>=Servicios!$A$40</f>
        <v>3</v>
      </c>
      <c r="B40" s="23" t="str">
        <f>=Servicios!$B$40</f>
        <v>Resedimentado de corona</v>
      </c>
      <c r="C40" s="6">
        <f>=Servicios!$H$40</f>
        <v>5</v>
      </c>
      <c r="D40" s="6">
        <f>=MIN(IF(Servicios!$E$40&gt;0,Servicios!$E$40,9.99E+99))</f>
        <v>5</v>
      </c>
      <c r="E40" s="6">
        <f>=MIN($C40*MIN(1),$D40)</f>
        <v>5</v>
      </c>
      <c r="F40" s="21">
        <f>=IF($D40&gt;0,$C40/$D40,0)</f>
        <v>0</v>
      </c>
      <c r="G40" s="23" t="str">
        <f>=IF($E40&lt;$C40-0.000001,"LIMITADA","")</f>
        <v/>
      </c>
    </row>
    <row r="41">
      <c r="A41" s="11">
        <f>=Servicios!$A$41</f>
        <v>3</v>
      </c>
      <c r="B41" s="23" t="str">
        <f>=Servicios!$B$41</f>
        <v>Corona y espiga acrílica</v>
      </c>
      <c r="C41" s="6">
        <f>=Servicios!$H$41</f>
        <v>5</v>
      </c>
      <c r="D41" s="6">
        <f>=MIN(IF(Servicios!$E$41&gt;0,Servicios!$E$41,9.99E+99))</f>
        <v>5</v>
      </c>
      <c r="E41" s="6">
        <f>=MIN($C41*MIN(1),$D41)</f>
        <v>5</v>
      </c>
      <c r="F41" s="21">
        <f>=IF($D41&gt;0,$C41/$D41,0)</f>
        <v>0</v>
      </c>
      <c r="G41" s="23" t="str">
        <f>=IF($E41&lt;$C41-0.000001,"LIMITADA","")</f>
        <v/>
      </c>
    </row>
    <row r="42">
      <c r="A42" s="11">
        <f>=Servicios!$A$42</f>
        <v>3</v>
      </c>
      <c r="B42" s="23" t="str">
        <f>=Servicios!$B$42</f>
        <v>Pulpotomía</v>
      </c>
      <c r="C42" s="6">
        <f>=Servicios!$H$42</f>
        <v>3</v>
      </c>
      <c r="D42" s="6">
        <f>=MIN(IF(Servicios!$E$42&gt;0,Servicios!$E$42,9.99E+99))</f>
        <v>3</v>
      </c>
      <c r="E42" s="6">
        <f>=MIN($C42*MIN(1),$D42)</f>
        <v>3</v>
      </c>
      <c r="F42" s="21">
        <f>=IF($D42&gt;0,$C42/$D42,0)</f>
        <v>0</v>
      </c>
      <c r="G42" s="23" t="str">
        <f>=IF($E42&lt;$C42-0.000001,"LIMITADA","")</f>
        <v/>
      </c>
    </row>
    <row r="43">
      <c r="A43" s="11">
        <f>=Servicios!$A$43</f>
        <v>3</v>
      </c>
      <c r="B43" s="23" t="str">
        <f>=Servicios!$B$43</f>
        <v>Drenaje de absceso</v>
      </c>
      <c r="C43" s="6">
        <f>=Servicios!$H$43</f>
        <v>5</v>
      </c>
      <c r="D43" s="6">
        <f>=MIN(IF(Servicios!$E$43&gt;0,Servicios!$E$43,9.99E+99))</f>
        <v>5</v>
      </c>
      <c r="E43" s="6">
        <f>=MIN($C43*MIN(1),$D43)</f>
        <v>5</v>
      </c>
      <c r="F43" s="21">
        <f>=IF($D43&gt;0,$C43/$D43,0)</f>
        <v>0</v>
      </c>
      <c r="G43" s="23" t="str">
        <f>=IF($E43&lt;$C43-0.000001,"LIMITADA","")</f>
        <v/>
      </c>
    </row>
    <row r="44">
      <c r="A44" s="11">
        <f>=Servicios!$A$44</f>
        <v>3</v>
      </c>
      <c r="B44" s="23" t="str">
        <f>=Servicios!$B$44</f>
        <v>Reparación de prótesis</v>
      </c>
      <c r="C44" s="6">
        <f>=Servicios!$H$44</f>
        <v>5</v>
      </c>
      <c r="D44" s="6">
        <f>=MIN(IF(Servicios!$E$44&gt;0,Servicios!$E$44,9.99E+99))</f>
        <v>5</v>
      </c>
      <c r="E44" s="6">
        <f>=MIN($C44*MIN(1),$D44)</f>
        <v>5</v>
      </c>
      <c r="F44" s="21">
        <f>=IF($D44&gt;0,$C44/$D44,0)</f>
        <v>0</v>
      </c>
      <c r="G44" s="23" t="str">
        <f>=IF($E44&lt;$C44-0.000001,"LIMITADA","")</f>
        <v/>
      </c>
    </row>
    <row r="45">
      <c r="A45" s="11">
        <f>=Servicios!$A$45</f>
        <v>3</v>
      </c>
      <c r="B45" s="23" t="str">
        <f>=Servicios!$B$45</f>
        <v>Cura de óxido de zinc</v>
      </c>
      <c r="C45" s="6">
        <f>=Servicios!$H$45</f>
        <v>25</v>
      </c>
      <c r="D45" s="6">
        <f>=MIN(IF(Servicios!$E$45&gt;0,Servicios!$E$45,9.99E+99))</f>
        <v>25</v>
      </c>
      <c r="E45" s="6">
        <f>=MIN($C45*MIN(1),$D45)</f>
        <v>25</v>
      </c>
      <c r="F45" s="21">
        <f>=IF($D45&gt;0,$C45/$D45,0)</f>
        <v>0</v>
      </c>
      <c r="G45" s="23" t="str">
        <f>=IF($E45&lt;$C45-0.000001,"LIMITADA","")</f>
        <v/>
      </c>
    </row>
    <row r="46">
      <c r="A46" s="11">
        <f>=Servicios!$A$46</f>
        <v>3</v>
      </c>
      <c r="B46" s="23" t="str">
        <f>=Servicios!$B$46</f>
        <v>Radiografía</v>
      </c>
      <c r="C46" s="6">
        <f>=Servicios!$H$46</f>
        <v>30</v>
      </c>
      <c r="D46" s="6">
        <f>=MIN(IF(Servicios!$E$46&gt;0,Servicios!$E$46,9.99E+99))</f>
        <v>30</v>
      </c>
      <c r="E46" s="6">
        <f>=MIN($C46*MIN(1),$D46)</f>
        <v>30</v>
      </c>
      <c r="F46" s="21">
        <f>=IF($D46&gt;0,$C46/$D46,0)</f>
        <v>0</v>
      </c>
      <c r="G46" s="23" t="str">
        <f>=IF($E46&lt;$C46-0.000001,"LIMITADA","")</f>
        <v/>
      </c>
    </row>
    <row r="47">
      <c r="A47" s="11">
        <f>=Servicios!$A$47</f>
        <v>3</v>
      </c>
      <c r="B47" s="23" t="str">
        <f>=Servicios!$B$47</f>
        <v>Corona acrílica</v>
      </c>
      <c r="C47" s="6">
        <f>=Servicios!$H$47</f>
        <v>10</v>
      </c>
      <c r="D47" s="6">
        <f>=MIN(IF(Servicios!$E$47&gt;0,Servicios!$E$47,9.99E+99))</f>
        <v>10</v>
      </c>
      <c r="E47" s="6">
        <f>=MIN($C47*MIN(1),$D47)</f>
        <v>10</v>
      </c>
      <c r="F47" s="21">
        <f>=IF($D47&gt;0,$C47/$D47,0)</f>
        <v>0</v>
      </c>
      <c r="G47" s="23" t="str">
        <f>=IF($E47&lt;$C47-0.000001,"LIMITADA","")</f>
        <v/>
      </c>
    </row>
    <row r="48">
      <c r="A48" s="11">
        <f>=Servicios!$A$48</f>
        <v>3</v>
      </c>
      <c r="B48" s="23" t="str">
        <f>=Servicios!$B$48</f>
        <v>Blanqueamientos</v>
      </c>
      <c r="C48" s="6">
        <f>=Servicios!$H$48</f>
        <v>10</v>
      </c>
      <c r="D48" s="6">
        <f>=MIN(IF(Servicios!$E$48&gt;0,Servicios!$E$48,9.99E+99))</f>
        <v>10</v>
      </c>
      <c r="E48" s="6">
        <f>=MIN($C48*MIN(1),$D48)</f>
        <v>10</v>
      </c>
      <c r="F48" s="21">
        <f>=IF($D48&gt;0,$C48/$D48,0)</f>
        <v>0</v>
      </c>
      <c r="G48" s="23" t="str">
        <f>=IF($E48&lt;$C48-0.000001,"LIMITADA","")</f>
        <v/>
      </c>
    </row>
    <row r="49">
      <c r="A49" s="11">
        <f>=Servicios!$A$49</f>
        <v>4</v>
      </c>
      <c r="B49" s="23" t="str">
        <f>=Servicios!$B$49</f>
        <v>Tratamientos pulporadiculares (TPR)</v>
      </c>
      <c r="C49" s="6">
        <f>=Servicios!$H$49</f>
        <v>3</v>
      </c>
      <c r="D49" s="6">
        <f>=MIN(IF(Servicios!$E$49&gt;0,Servicios!$E$49,9.99E+99))</f>
        <v>3</v>
      </c>
      <c r="E49" s="6">
        <f>=MIN($C49*MIN(1),$D49)</f>
        <v>3</v>
      </c>
      <c r="F49" s="21">
        <f>=IF($D49&gt;0,$C49/$D49,0)</f>
        <v>0</v>
      </c>
      <c r="G49" s="23" t="str">
        <f>=IF($E49&lt;$C49-0.000001,"LIMITADA","")</f>
        <v/>
      </c>
    </row>
    <row r="50">
      <c r="A50" s="11">
        <f>=Servicios!$A$50</f>
        <v>4</v>
      </c>
      <c r="B50" s="23" t="str">
        <f>=Servicios!$B$50</f>
        <v>Obturaciones de resina</v>
      </c>
      <c r="C50" s="6">
        <f>=Servicios!$H$50</f>
        <v>15</v>
      </c>
      <c r="D50" s="6">
        <f>=MIN(IF(Servicios!$E$50&gt;0,Servicios!$E$50,9.99E+99))</f>
        <v>15</v>
      </c>
      <c r="E50" s="6">
        <f>=MIN($C50*MIN(1),$D50)</f>
        <v>15</v>
      </c>
      <c r="F50" s="21">
        <f>=IF($D50&gt;0,$C50/$D50,0)</f>
        <v>0</v>
      </c>
      <c r="G50" s="23" t="str">
        <f>=IF($E50&lt;$C50-0.000001,"LIMITADA","")</f>
        <v/>
      </c>
    </row>
    <row r="51">
      <c r="A51" s="11">
        <f>=Servicios!$A$51</f>
        <v>4</v>
      </c>
      <c r="B51" s="23" t="str">
        <f>=Servicios!$B$51</f>
        <v>Obturaciones de amalgamas</v>
      </c>
      <c r="C51" s="6">
        <f>=Servicios!$H$51</f>
        <v>15</v>
      </c>
      <c r="D51" s="6">
        <f>=MIN(IF(Servicios!$E$51&gt;0,Servicios!$E$51,9.99E+99))</f>
        <v>15</v>
      </c>
      <c r="E51" s="6">
        <f>=MIN($C51*MIN(1),$D51)</f>
        <v>15</v>
      </c>
      <c r="F51" s="21">
        <f>=IF($D51&gt;0,$C51/$D51,0)</f>
        <v>0</v>
      </c>
      <c r="G51" s="23" t="str">
        <f>=IF($E51&lt;$C51-0.000001,"LIMITADA","")</f>
        <v/>
      </c>
    </row>
    <row r="52">
      <c r="A52" s="11">
        <f>=Servicios!$A$52</f>
        <v>4</v>
      </c>
      <c r="B52" s="23" t="str">
        <f>=Servicios!$B$52</f>
        <v>Profilaxis con ultrasonido</v>
      </c>
      <c r="C52" s="6">
        <f>=Servicios!$H$52</f>
        <v>10</v>
      </c>
      <c r="D52" s="6">
        <f>=MIN(IF(Servicios!$E$52&gt;0,Servicios!$E$52,9.99E+99))</f>
        <v>10</v>
      </c>
      <c r="E52" s="6">
        <f>=MIN($C52*MIN(1),$D52)</f>
        <v>10</v>
      </c>
      <c r="F52" s="21">
        <f>=IF($D52&gt;0,$C52/$D52,0)</f>
        <v>0</v>
      </c>
      <c r="G52" s="23" t="str">
        <f>=IF($E52&lt;$C52-0.000001,"LIMITADA","")</f>
        <v/>
      </c>
    </row>
    <row r="53">
      <c r="A53" s="11">
        <f>=Servicios!$A$53</f>
        <v>4</v>
      </c>
      <c r="B53" s="23" t="str">
        <f>=Servicios!$B$53</f>
        <v>Prótesis</v>
      </c>
      <c r="C53" s="6">
        <f>=Servicios!$H$53</f>
        <v>15</v>
      </c>
      <c r="D53" s="6">
        <f>=MIN(IF(Servicios!$E$53&gt;0,Servicios!$E$53,9.99E+99))</f>
        <v>15</v>
      </c>
      <c r="E53" s="6">
        <f>=MIN($C53*MIN(1),$D53)</f>
        <v>15</v>
      </c>
      <c r="F53" s="21">
        <f>=IF($D53&gt;0,$C53/$D53,0)</f>
        <v>0</v>
      </c>
      <c r="G53" s="23" t="str">
        <f>=IF($E53&lt;$C53-0.000001,"LIMITADA","")</f>
        <v/>
      </c>
    </row>
    <row r="54">
      <c r="A54" s="11">
        <f>=Servicios!$A$54</f>
        <v>4</v>
      </c>
      <c r="B54" s="23" t="str">
        <f>=Servicios!$B$54</f>
        <v>Exodoncia</v>
      </c>
      <c r="C54" s="6">
        <f>=Servicios!$H$54</f>
        <v>10</v>
      </c>
      <c r="D54" s="6">
        <f>=MIN(IF(Servicios!$E$54&gt;0,Servicios!$E$54,9.99E+99))</f>
        <v>10</v>
      </c>
      <c r="E54" s="6">
        <f>=MIN($C54*MIN(1),$D54)</f>
        <v>10</v>
      </c>
      <c r="F54" s="21">
        <f>=IF($D54&gt;0,$C54/$D54,0)</f>
        <v>0</v>
      </c>
      <c r="G54" s="23" t="str">
        <f>=IF($E54&lt;$C54-0.000001,"LIMITADA","")</f>
        <v/>
      </c>
    </row>
    <row r="55">
      <c r="A55" s="11">
        <f>=Servicios!$A$55</f>
        <v>4</v>
      </c>
      <c r="B55" s="23" t="str">
        <f>=Servicios!$B$55</f>
        <v>Resedimentado de corona</v>
      </c>
      <c r="C55" s="6">
        <f>=Servicios!$H$55</f>
        <v>5</v>
      </c>
      <c r="D55" s="6">
        <f>=MIN(IF(Servicios!$E$55&gt;0,Servicios!$E$55,9.99E+99))</f>
        <v>5</v>
      </c>
      <c r="E55" s="6">
        <f>=MIN($C55*MIN(1),$D55)</f>
        <v>5</v>
      </c>
      <c r="F55" s="21">
        <f>=IF($D55&gt;0,$C55/$D55,0)</f>
        <v>0</v>
      </c>
      <c r="G55" s="23" t="str">
        <f>=IF($E55&lt;$C55-0.000001,"LIMITADA","")</f>
        <v/>
      </c>
    </row>
    <row r="56">
      <c r="A56" s="11">
        <f>=Servicios!$A$56</f>
        <v>4</v>
      </c>
      <c r="B56" s="23" t="str">
        <f>=Servicios!$B$56</f>
        <v>Corona y espiga acrílica</v>
      </c>
      <c r="C56" s="6">
        <f>=Servicios!$H$56</f>
        <v>5</v>
      </c>
      <c r="D56" s="6">
        <f>=MIN(IF(Servicios!$E$56&gt;0,Servicios!$E$56,9.99E+99))</f>
        <v>5</v>
      </c>
      <c r="E56" s="6">
        <f>=MIN($C56*MIN(1),$D56)</f>
        <v>5</v>
      </c>
      <c r="F56" s="21">
        <f>=IF($D56&gt;0,$C56/$D56,0)</f>
        <v>0</v>
      </c>
      <c r="G56" s="23" t="str">
        <f>=IF($E56&lt;$C56-0.000001,"LIMITADA","")</f>
        <v/>
      </c>
    </row>
    <row r="57">
      <c r="A57" s="11">
        <f>=Servicios!$A$57</f>
        <v>4</v>
      </c>
      <c r="B57" s="23" t="str">
        <f>=Servicios!$B$57</f>
        <v>Pulpotomía</v>
      </c>
      <c r="C57" s="6">
        <f>=Servicios!$H$57</f>
        <v>3</v>
      </c>
      <c r="D57" s="6">
        <f>=MIN(IF(Servicios!$E$57&gt;0,Servicios!$E$57,9.99E+99))</f>
        <v>3</v>
      </c>
      <c r="E57" s="6">
        <f>=MIN($C57*MIN(1),$D57)</f>
        <v>3</v>
      </c>
      <c r="F57" s="21">
        <f>=IF($D57&gt;0,$C57/$D57,0)</f>
        <v>0</v>
      </c>
      <c r="G57" s="23" t="str">
        <f>=IF($E57&lt;$C57-0.000001,"LIMITADA","")</f>
        <v/>
      </c>
    </row>
    <row r="58">
      <c r="A58" s="11">
        <f>=Servicios!$A$58</f>
        <v>4</v>
      </c>
      <c r="B58" s="23" t="str">
        <f>=Servicios!$B$58</f>
        <v>Drenaje de absceso</v>
      </c>
      <c r="C58" s="6">
        <f>=Servicios!$H$58</f>
        <v>5</v>
      </c>
      <c r="D58" s="6">
        <f>=MIN(IF(Servicios!$E$58&gt;0,Servicios!$E$58,9.99E+99))</f>
        <v>5</v>
      </c>
      <c r="E58" s="6">
        <f>=MIN($C58*MIN(1),$D58)</f>
        <v>5</v>
      </c>
      <c r="F58" s="21">
        <f>=IF($D58&gt;0,$C58/$D58,0)</f>
        <v>0</v>
      </c>
      <c r="G58" s="23" t="str">
        <f>=IF($E58&lt;$C58-0.000001,"LIMITADA","")</f>
        <v/>
      </c>
    </row>
    <row r="59">
      <c r="A59" s="11">
        <f>=Servicios!$A$59</f>
        <v>4</v>
      </c>
      <c r="B59" s="23" t="str">
        <f>=Servicios!$B$59</f>
        <v>Reparación de prótesis</v>
      </c>
      <c r="C59" s="6">
        <f>=Servicios!$H$59</f>
        <v>5</v>
      </c>
      <c r="D59" s="6">
        <f>=MIN(IF(Servicios!$E$59&gt;0,Servicios!$E$59,9.99E+99))</f>
        <v>5</v>
      </c>
      <c r="E59" s="6">
        <f>=MIN($C59*MIN(1),$D59)</f>
        <v>5</v>
      </c>
      <c r="F59" s="21">
        <f>=IF($D59&gt;0,$C59/$D59,0)</f>
        <v>0</v>
      </c>
      <c r="G59" s="23" t="str">
        <f>=IF($E59&lt;$C59-0.000001,"LIMITADA","")</f>
        <v/>
      </c>
    </row>
    <row r="60">
      <c r="A60" s="11">
        <f>=Servicios!$A$60</f>
        <v>4</v>
      </c>
      <c r="B60" s="23" t="str">
        <f>=Servicios!$B$60</f>
        <v>Cura de óxido de zinc</v>
      </c>
      <c r="C60" s="6">
        <f>=Servicios!$H$60</f>
        <v>25</v>
      </c>
      <c r="D60" s="6">
        <f>=MIN(IF(Servicios!$E$60&gt;0,Servicios!$E$60,9.99E+99))</f>
        <v>25</v>
      </c>
      <c r="E60" s="6">
        <f>=MIN($C60*MIN(1),$D60)</f>
        <v>25</v>
      </c>
      <c r="F60" s="21">
        <f>=IF($D60&gt;0,$C60/$D60,0)</f>
        <v>0</v>
      </c>
      <c r="G60" s="23" t="str">
        <f>=IF($E60&lt;$C60-0.000001,"LIMITADA","")</f>
        <v/>
      </c>
    </row>
    <row r="61">
      <c r="A61" s="11">
        <f>=Servicios!$A$61</f>
        <v>4</v>
      </c>
      <c r="B61" s="23" t="str">
        <f>=Servicios!$B$61</f>
        <v>Radiografía</v>
      </c>
      <c r="C61" s="6">
        <f>=Servicios!$H$61</f>
        <v>30</v>
      </c>
      <c r="D61" s="6">
        <f>=MIN(IF(Servicios!$E$61&gt;0,Servicios!$E$61,9.99E+99))</f>
        <v>30</v>
      </c>
      <c r="E61" s="6">
        <f>=MIN($C61*MIN(1),$D61)</f>
        <v>30</v>
      </c>
      <c r="F61" s="21">
        <f>=IF($D61&gt;0,$C61/$D61,0)</f>
        <v>0</v>
      </c>
      <c r="G61" s="23" t="str">
        <f>=IF($E61&lt;$C61-0.000001,"LIMITADA","")</f>
        <v/>
      </c>
    </row>
    <row r="62">
      <c r="A62" s="11">
        <f>=Servicios!$A$62</f>
        <v>4</v>
      </c>
      <c r="B62" s="23" t="str">
        <f>=Servicios!$B$62</f>
        <v>Corona acrílica</v>
      </c>
      <c r="C62" s="6">
        <f>=Servicios!$H$62</f>
        <v>10</v>
      </c>
      <c r="D62" s="6">
        <f>=MIN(IF(Servicios!$E$62&gt;0,Servicios!$E$62,9.99E+99))</f>
        <v>10</v>
      </c>
      <c r="E62" s="6">
        <f>=MIN($C62*MIN(1),$D62)</f>
        <v>10</v>
      </c>
      <c r="F62" s="21">
        <f>=IF($D62&gt;0,$C62/$D62,0)</f>
        <v>0</v>
      </c>
      <c r="G62" s="23" t="str">
        <f>=IF($E62&lt;$C62-0.000001,"LIMITADA","")</f>
        <v/>
      </c>
    </row>
    <row r="63">
      <c r="A63" s="11">
        <f>=Servicios!$A$63</f>
        <v>4</v>
      </c>
      <c r="B63" s="23" t="str">
        <f>=Servicios!$B$63</f>
        <v>Blanqueamientos</v>
      </c>
      <c r="C63" s="6">
        <f>=Servicios!$H$63</f>
        <v>10</v>
      </c>
      <c r="D63" s="6">
        <f>=MIN(IF(Servicios!$E$63&gt;0,Servicios!$E$63,9.99E+99))</f>
        <v>10</v>
      </c>
      <c r="E63" s="6">
        <f>=MIN($C63*MIN(1),$D63)</f>
        <v>10</v>
      </c>
      <c r="F63" s="21">
        <f>=IF($D63&gt;0,$C63/$D63,0)</f>
        <v>0</v>
      </c>
      <c r="G63" s="23" t="str">
        <f>=IF($E63&lt;$C63-0.000001,"LIMITADA","")</f>
        <v/>
      </c>
    </row>
    <row r="64">
      <c r="A64" s="11">
        <f>=Servicios!$A$64</f>
        <v>5</v>
      </c>
      <c r="B64" s="23" t="str">
        <f>=Servicios!$B$64</f>
        <v>Tratamientos pulporadiculares (TPR)</v>
      </c>
      <c r="C64" s="6">
        <f>=Servicios!$H$64</f>
        <v>3</v>
      </c>
      <c r="D64" s="6">
        <f>=MIN(IF(Servicios!$E$64&gt;0,Servicios!$E$64,9.99E+99))</f>
        <v>3</v>
      </c>
      <c r="E64" s="6">
        <f>=MIN($C64*MIN(1),$D64)</f>
        <v>3</v>
      </c>
      <c r="F64" s="21">
        <f>=IF($D64&gt;0,$C64/$D64,0)</f>
        <v>0</v>
      </c>
      <c r="G64" s="23" t="str">
        <f>=IF($E64&lt;$C64-0.000001,"LIMITADA","")</f>
        <v/>
      </c>
    </row>
    <row r="65">
      <c r="A65" s="11">
        <f>=Servicios!$A$65</f>
        <v>5</v>
      </c>
      <c r="B65" s="23" t="str">
        <f>=Servicios!$B$65</f>
        <v>Obturaciones de resina</v>
      </c>
      <c r="C65" s="6">
        <f>=Servicios!$H$65</f>
        <v>15</v>
      </c>
      <c r="D65" s="6">
        <f>=MIN(IF(Servicios!$E$65&gt;0,Servicios!$E$65,9.99E+99))</f>
        <v>15</v>
      </c>
      <c r="E65" s="6">
        <f>=MIN($C65*MIN(1),$D65)</f>
        <v>15</v>
      </c>
      <c r="F65" s="21">
        <f>=IF($D65&gt;0,$C65/$D65,0)</f>
        <v>0</v>
      </c>
      <c r="G65" s="23" t="str">
        <f>=IF($E65&lt;$C65-0.000001,"LIMITADA","")</f>
        <v/>
      </c>
    </row>
    <row r="66">
      <c r="A66" s="11">
        <f>=Servicios!$A$66</f>
        <v>5</v>
      </c>
      <c r="B66" s="23" t="str">
        <f>=Servicios!$B$66</f>
        <v>Obturaciones de amalgamas</v>
      </c>
      <c r="C66" s="6">
        <f>=Servicios!$H$66</f>
        <v>15</v>
      </c>
      <c r="D66" s="6">
        <f>=MIN(IF(Servicios!$E$66&gt;0,Servicios!$E$66,9.99E+99))</f>
        <v>15</v>
      </c>
      <c r="E66" s="6">
        <f>=MIN($C66*MIN(1),$D66)</f>
        <v>15</v>
      </c>
      <c r="F66" s="21">
        <f>=IF($D66&gt;0,$C66/$D66,0)</f>
        <v>0</v>
      </c>
      <c r="G66" s="23" t="str">
        <f>=IF($E66&lt;$C66-0.000001,"LIMITADA","")</f>
        <v/>
      </c>
    </row>
    <row r="67">
      <c r="A67" s="11">
        <f>=Servicios!$A$67</f>
        <v>5</v>
      </c>
      <c r="B67" s="23" t="str">
        <f>=Servicios!$B$67</f>
        <v>Profilaxis con ultrasonido</v>
      </c>
      <c r="C67" s="6">
        <f>=Servicios!$H$67</f>
        <v>10</v>
      </c>
      <c r="D67" s="6">
        <f>=MIN(IF(Servicios!$E$67&gt;0,Servicios!$E$67,9.99E+99))</f>
        <v>10</v>
      </c>
      <c r="E67" s="6">
        <f>=MIN($C67*MIN(1),$D67)</f>
        <v>10</v>
      </c>
      <c r="F67" s="21">
        <f>=IF($D67&gt;0,$C67/$D67,0)</f>
        <v>0</v>
      </c>
      <c r="G67" s="23" t="str">
        <f>=IF($E67&lt;$C67-0.000001,"LIMITADA","")</f>
        <v/>
      </c>
    </row>
    <row r="68">
      <c r="A68" s="11">
        <f>=Servicios!$A$68</f>
        <v>5</v>
      </c>
      <c r="B68" s="23" t="str">
        <f>=Servicios!$B$68</f>
        <v>Prótesis</v>
      </c>
      <c r="C68" s="6">
        <f>=Servicios!$H$68</f>
        <v>15</v>
      </c>
      <c r="D68" s="6">
        <f>=MIN(IF(Servicios!$E$68&gt;0,Servicios!$E$68,9.99E+99))</f>
        <v>15</v>
      </c>
      <c r="E68" s="6">
        <f>=MIN($C68*MIN(1),$D68)</f>
        <v>15</v>
      </c>
      <c r="F68" s="21">
        <f>=IF($D68&gt;0,$C68/$D68,0)</f>
        <v>0</v>
      </c>
      <c r="G68" s="23" t="str">
        <f>=IF($E68&lt;$C68-0.000001,"LIMITADA","")</f>
        <v/>
      </c>
    </row>
    <row r="69">
      <c r="A69" s="11">
        <f>=Servicios!$A$69</f>
        <v>5</v>
      </c>
      <c r="B69" s="23" t="str">
        <f>=Servicios!$B$69</f>
        <v>Exodoncia</v>
      </c>
      <c r="C69" s="6">
        <f>=Servicios!$H$69</f>
        <v>10</v>
      </c>
      <c r="D69" s="6">
        <f>=MIN(IF(Servicios!$E$69&gt;0,Servicios!$E$69,9.99E+99))</f>
        <v>10</v>
      </c>
      <c r="E69" s="6">
        <f>=MIN($C69*MIN(1),$D69)</f>
        <v>10</v>
      </c>
      <c r="F69" s="21">
        <f>=IF($D69&gt;0,$C69/$D69,0)</f>
        <v>0</v>
      </c>
      <c r="G69" s="23" t="str">
        <f>=IF($E69&lt;$C69-0.000001,"LIMITADA","")</f>
        <v/>
      </c>
    </row>
    <row r="70">
      <c r="A70" s="11">
        <f>=Servicios!$A$70</f>
        <v>5</v>
      </c>
      <c r="B70" s="23" t="str">
        <f>=Servicios!$B$70</f>
        <v>Resedimentado de corona</v>
      </c>
      <c r="C70" s="6">
        <f>=Servicios!$H$70</f>
        <v>5</v>
      </c>
      <c r="D70" s="6">
        <f>=MIN(IF(Servicios!$E$70&gt;0,Servicios!$E$70,9.99E+99))</f>
        <v>5</v>
      </c>
      <c r="E70" s="6">
        <f>=MIN($C70*MIN(1),$D70)</f>
        <v>5</v>
      </c>
      <c r="F70" s="21">
        <f>=IF($D70&gt;0,$C70/$D70,0)</f>
        <v>0</v>
      </c>
      <c r="G70" s="23" t="str">
        <f>=IF($E70&lt;$C70-0.000001,"LIMITADA","")</f>
        <v/>
      </c>
    </row>
    <row r="71">
      <c r="A71" s="11">
        <f>=Servicios!$A$71</f>
        <v>5</v>
      </c>
      <c r="B71" s="23" t="str">
        <f>=Servicios!$B$71</f>
        <v>Corona y espiga acrílica</v>
      </c>
      <c r="C71" s="6">
        <f>=Servicios!$H$71</f>
        <v>5</v>
      </c>
      <c r="D71" s="6">
        <f>=MIN(IF(Servicios!$E$71&gt;0,Servicios!$E$71,9.99E+99))</f>
        <v>5</v>
      </c>
      <c r="E71" s="6">
        <f>=MIN($C71*MIN(1),$D71)</f>
        <v>5</v>
      </c>
      <c r="F71" s="21">
        <f>=IF($D71&gt;0,$C71/$D71,0)</f>
        <v>0</v>
      </c>
      <c r="G71" s="23" t="str">
        <f>=IF($E71&lt;$C71-0.000001,"LIMITADA","")</f>
        <v/>
      </c>
    </row>
    <row r="72">
      <c r="A72" s="11">
        <f>=Servicios!$A$72</f>
        <v>5</v>
      </c>
      <c r="B72" s="23" t="str">
        <f>=Servicios!$B$72</f>
        <v>Pulpotomía</v>
      </c>
      <c r="C72" s="6">
        <f>=Servicios!$H$72</f>
        <v>3</v>
      </c>
      <c r="D72" s="6">
        <f>=MIN(IF(Servicios!$E$72&gt;0,Servicios!$E$72,9.99E+99))</f>
        <v>3</v>
      </c>
      <c r="E72" s="6">
        <f>=MIN($C72*MIN(1),$D72)</f>
        <v>3</v>
      </c>
      <c r="F72" s="21">
        <f>=IF($D72&gt;0,$C72/$D72,0)</f>
        <v>0</v>
      </c>
      <c r="G72" s="23" t="str">
        <f>=IF($E72&lt;$C72-0.000001,"LIMITADA","")</f>
        <v/>
      </c>
    </row>
    <row r="73">
      <c r="A73" s="11">
        <f>=Servicios!$A$73</f>
        <v>5</v>
      </c>
      <c r="B73" s="23" t="str">
        <f>=Servicios!$B$73</f>
        <v>Drenaje de absceso</v>
      </c>
      <c r="C73" s="6">
        <f>=Servicios!$H$73</f>
        <v>5</v>
      </c>
      <c r="D73" s="6">
        <f>=MIN(IF(Servicios!$E$73&gt;0,Servicios!$E$73,9.99E+99))</f>
        <v>5</v>
      </c>
      <c r="E73" s="6">
        <f>=MIN($C73*MIN(1),$D73)</f>
        <v>5</v>
      </c>
      <c r="F73" s="21">
        <f>=IF($D73&gt;0,$C73/$D73,0)</f>
        <v>0</v>
      </c>
      <c r="G73" s="23" t="str">
        <f>=IF($E73&lt;$C73-0.000001,"LIMITADA","")</f>
        <v/>
      </c>
    </row>
    <row r="74">
      <c r="A74" s="11">
        <f>=Servicios!$A$74</f>
        <v>5</v>
      </c>
      <c r="B74" s="23" t="str">
        <f>=Servicios!$B$74</f>
        <v>Reparación de prótesis</v>
      </c>
      <c r="C74" s="6">
        <f>=Servicios!$H$74</f>
        <v>5</v>
      </c>
      <c r="D74" s="6">
        <f>=MIN(IF(Servicios!$E$74&gt;0,Servicios!$E$74,9.99E+99))</f>
        <v>5</v>
      </c>
      <c r="E74" s="6">
        <f>=MIN($C74*MIN(1),$D74)</f>
        <v>5</v>
      </c>
      <c r="F74" s="21">
        <f>=IF($D74&gt;0,$C74/$D74,0)</f>
        <v>0</v>
      </c>
      <c r="G74" s="23" t="str">
        <f>=IF($E74&lt;$C74-0.000001,"LIMITADA","")</f>
        <v/>
      </c>
    </row>
    <row r="75">
      <c r="A75" s="11">
        <f>=Servicios!$A$75</f>
        <v>5</v>
      </c>
      <c r="B75" s="23" t="str">
        <f>=Servicios!$B$75</f>
        <v>Cura de óxido de zinc</v>
      </c>
      <c r="C75" s="6">
        <f>=Servicios!$H$75</f>
        <v>25</v>
      </c>
      <c r="D75" s="6">
        <f>=MIN(IF(Servicios!$E$75&gt;0,Servicios!$E$75,9.99E+99))</f>
        <v>25</v>
      </c>
      <c r="E75" s="6">
        <f>=MIN($C75*MIN(1),$D75)</f>
        <v>25</v>
      </c>
      <c r="F75" s="21">
        <f>=IF($D75&gt;0,$C75/$D75,0)</f>
        <v>0</v>
      </c>
      <c r="G75" s="23" t="str">
        <f>=IF($E75&lt;$C75-0.000001,"LIMITADA","")</f>
        <v/>
      </c>
    </row>
    <row r="76">
      <c r="A76" s="11">
        <f>=Servicios!$A$76</f>
        <v>5</v>
      </c>
      <c r="B76" s="23" t="str">
        <f>=Servicios!$B$76</f>
        <v>Radiografía</v>
      </c>
      <c r="C76" s="6">
        <f>=Servicios!$H$76</f>
        <v>30</v>
      </c>
      <c r="D76" s="6">
        <f>=MIN(IF(Servicios!$E$76&gt;0,Servicios!$E$76,9.99E+99))</f>
        <v>30</v>
      </c>
      <c r="E76" s="6">
        <f>=MIN($C76*MIN(1),$D76)</f>
        <v>30</v>
      </c>
      <c r="F76" s="21">
        <f>=IF($D76&gt;0,$C76/$D76,0)</f>
        <v>0</v>
      </c>
      <c r="G76" s="23" t="str">
        <f>=IF($E76&lt;$C76-0.000001,"LIMITADA","")</f>
        <v/>
      </c>
    </row>
    <row r="77">
      <c r="A77" s="11">
        <f>=Servicios!$A$77</f>
        <v>5</v>
      </c>
      <c r="B77" s="23" t="str">
        <f>=Servicios!$B$77</f>
        <v>Corona acrílica</v>
      </c>
      <c r="C77" s="6">
        <f>=Servicios!$H$77</f>
        <v>10</v>
      </c>
      <c r="D77" s="6">
        <f>=MIN(IF(Servicios!$E$77&gt;0,Servicios!$E$77,9.99E+99))</f>
        <v>10</v>
      </c>
      <c r="E77" s="6">
        <f>=MIN($C77*MIN(1),$D77)</f>
        <v>10</v>
      </c>
      <c r="F77" s="21">
        <f>=IF($D77&gt;0,$C77/$D77,0)</f>
        <v>0</v>
      </c>
      <c r="G77" s="23" t="str">
        <f>=IF($E77&lt;$C77-0.000001,"LIMITADA","")</f>
        <v/>
      </c>
    </row>
    <row r="78">
      <c r="A78" s="11">
        <f>=Servicios!$A$78</f>
        <v>5</v>
      </c>
      <c r="B78" s="23" t="str">
        <f>=Servicios!$B$78</f>
        <v>Blanqueamientos</v>
      </c>
      <c r="C78" s="6">
        <f>=Servicios!$H$78</f>
        <v>10</v>
      </c>
      <c r="D78" s="6">
        <f>=MIN(IF(Servicios!$E$78&gt;0,Servicios!$E$78,9.99E+99))</f>
        <v>10</v>
      </c>
      <c r="E78" s="6">
        <f>=MIN($C78*MIN(1),$D78)</f>
        <v>10</v>
      </c>
      <c r="F78" s="21">
        <f>=IF($D78&gt;0,$C78/$D78,0)</f>
        <v>0</v>
      </c>
      <c r="G78" s="23" t="str">
        <f>=IF($E78&lt;$C78-0.000001,"LIMITADA","")</f>
        <v/>
      </c>
    </row>
    <row r="79">
      <c r="A79" s="11">
        <f>=Servicios!$A$79</f>
        <v>6</v>
      </c>
      <c r="B79" s="23" t="str">
        <f>=Servicios!$B$79</f>
        <v>Tratamientos pulporadiculares (TPR)</v>
      </c>
      <c r="C79" s="6">
        <f>=Servicios!$H$79</f>
        <v>3</v>
      </c>
      <c r="D79" s="6">
        <f>=MIN(IF(Servicios!$E$79&gt;0,Servicios!$E$79,9.99E+99))</f>
        <v>3</v>
      </c>
      <c r="E79" s="6">
        <f>=MIN($C79*MIN(1),$D79)</f>
        <v>3</v>
      </c>
      <c r="F79" s="21">
        <f>=IF($D79&gt;0,$C79/$D79,0)</f>
        <v>0</v>
      </c>
      <c r="G79" s="23" t="str">
        <f>=IF($E79&lt;$C79-0.000001,"LIMITADA","")</f>
        <v/>
      </c>
    </row>
    <row r="80">
      <c r="A80" s="11">
        <f>=Servicios!$A$80</f>
        <v>6</v>
      </c>
      <c r="B80" s="23" t="str">
        <f>=Servicios!$B$80</f>
        <v>Obturaciones de resina</v>
      </c>
      <c r="C80" s="6">
        <f>=Servicios!$H$80</f>
        <v>15</v>
      </c>
      <c r="D80" s="6">
        <f>=MIN(IF(Servicios!$E$80&gt;0,Servicios!$E$80,9.99E+99))</f>
        <v>15</v>
      </c>
      <c r="E80" s="6">
        <f>=MIN($C80*MIN(1),$D80)</f>
        <v>15</v>
      </c>
      <c r="F80" s="21">
        <f>=IF($D80&gt;0,$C80/$D80,0)</f>
        <v>0</v>
      </c>
      <c r="G80" s="23" t="str">
        <f>=IF($E80&lt;$C80-0.000001,"LIMITADA","")</f>
        <v/>
      </c>
    </row>
    <row r="81">
      <c r="A81" s="11">
        <f>=Servicios!$A$81</f>
        <v>6</v>
      </c>
      <c r="B81" s="23" t="str">
        <f>=Servicios!$B$81</f>
        <v>Obturaciones de amalgamas</v>
      </c>
      <c r="C81" s="6">
        <f>=Servicios!$H$81</f>
        <v>15</v>
      </c>
      <c r="D81" s="6">
        <f>=MIN(IF(Servicios!$E$81&gt;0,Servicios!$E$81,9.99E+99))</f>
        <v>15</v>
      </c>
      <c r="E81" s="6">
        <f>=MIN($C81*MIN(1),$D81)</f>
        <v>15</v>
      </c>
      <c r="F81" s="21">
        <f>=IF($D81&gt;0,$C81/$D81,0)</f>
        <v>0</v>
      </c>
      <c r="G81" s="23" t="str">
        <f>=IF($E81&lt;$C81-0.000001,"LIMITADA","")</f>
        <v/>
      </c>
    </row>
    <row r="82">
      <c r="A82" s="11">
        <f>=Servicios!$A$82</f>
        <v>6</v>
      </c>
      <c r="B82" s="23" t="str">
        <f>=Servicios!$B$82</f>
        <v>Profilaxis con ultrasonido</v>
      </c>
      <c r="C82" s="6">
        <f>=Servicios!$H$82</f>
        <v>10</v>
      </c>
      <c r="D82" s="6">
        <f>=MIN(IF(Servicios!$E$82&gt;0,Servicios!$E$82,9.99E+99))</f>
        <v>10</v>
      </c>
      <c r="E82" s="6">
        <f>=MIN($C82*MIN(1),$D82)</f>
        <v>10</v>
      </c>
      <c r="F82" s="21">
        <f>=IF($D82&gt;0,$C82/$D82,0)</f>
        <v>0</v>
      </c>
      <c r="G82" s="23" t="str">
        <f>=IF($E82&lt;$C82-0.000001,"LIMITADA","")</f>
        <v/>
      </c>
    </row>
    <row r="83">
      <c r="A83" s="11">
        <f>=Servicios!$A$83</f>
        <v>6</v>
      </c>
      <c r="B83" s="23" t="str">
        <f>=Servicios!$B$83</f>
        <v>Prótesis</v>
      </c>
      <c r="C83" s="6">
        <f>=Servicios!$H$83</f>
        <v>15</v>
      </c>
      <c r="D83" s="6">
        <f>=MIN(IF(Servicios!$E$83&gt;0,Servicios!$E$83,9.99E+99))</f>
        <v>15</v>
      </c>
      <c r="E83" s="6">
        <f>=MIN($C83*MIN(1),$D83)</f>
        <v>15</v>
      </c>
      <c r="F83" s="21">
        <f>=IF($D83&gt;0,$C83/$D83,0)</f>
        <v>0</v>
      </c>
      <c r="G83" s="23" t="str">
        <f>=IF($E83&lt;$C83-0.000001,"LIMITADA","")</f>
        <v/>
      </c>
    </row>
    <row r="84">
      <c r="A84" s="11">
        <f>=Servicios!$A$84</f>
        <v>6</v>
      </c>
      <c r="B84" s="23" t="str">
        <f>=Servicios!$B$84</f>
        <v>Exodoncia</v>
      </c>
      <c r="C84" s="6">
        <f>=Servicios!$H$84</f>
        <v>10</v>
      </c>
      <c r="D84" s="6">
        <f>=MIN(IF(Servicios!$E$84&gt;0,Servicios!$E$84,9.99E+99))</f>
        <v>10</v>
      </c>
      <c r="E84" s="6">
        <f>=MIN($C84*MIN(1),$D84)</f>
        <v>10</v>
      </c>
      <c r="F84" s="21">
        <f>=IF($D84&gt;0,$C84/$D84,0)</f>
        <v>0</v>
      </c>
      <c r="G84" s="23" t="str">
        <f>=IF($E84&lt;$C84-0.000001,"LIMITADA","")</f>
        <v/>
      </c>
    </row>
    <row r="85">
      <c r="A85" s="11">
        <f>=Servicios!$A$85</f>
        <v>6</v>
      </c>
      <c r="B85" s="23" t="str">
        <f>=Servicios!$B$85</f>
        <v>Resedimentado de corona</v>
      </c>
      <c r="C85" s="6">
        <f>=Servicios!$H$85</f>
        <v>5</v>
      </c>
      <c r="D85" s="6">
        <f>=MIN(IF(Servicios!$E$85&gt;0,Servicios!$E$85,9.99E+99))</f>
        <v>5</v>
      </c>
      <c r="E85" s="6">
        <f>=MIN($C85*MIN(1),$D85)</f>
        <v>5</v>
      </c>
      <c r="F85" s="21">
        <f>=IF($D85&gt;0,$C85/$D85,0)</f>
        <v>0</v>
      </c>
      <c r="G85" s="23" t="str">
        <f>=IF($E85&lt;$C85-0.000001,"LIMITADA","")</f>
        <v/>
      </c>
    </row>
    <row r="86">
      <c r="A86" s="11">
        <f>=Servicios!$A$86</f>
        <v>6</v>
      </c>
      <c r="B86" s="23" t="str">
        <f>=Servicios!$B$86</f>
        <v>Corona y espiga acrílica</v>
      </c>
      <c r="C86" s="6">
        <f>=Servicios!$H$86</f>
        <v>5</v>
      </c>
      <c r="D86" s="6">
        <f>=MIN(IF(Servicios!$E$86&gt;0,Servicios!$E$86,9.99E+99))</f>
        <v>5</v>
      </c>
      <c r="E86" s="6">
        <f>=MIN($C86*MIN(1),$D86)</f>
        <v>5</v>
      </c>
      <c r="F86" s="21">
        <f>=IF($D86&gt;0,$C86/$D86,0)</f>
        <v>0</v>
      </c>
      <c r="G86" s="23" t="str">
        <f>=IF($E86&lt;$C86-0.000001,"LIMITADA","")</f>
        <v/>
      </c>
    </row>
    <row r="87">
      <c r="A87" s="11">
        <f>=Servicios!$A$87</f>
        <v>6</v>
      </c>
      <c r="B87" s="23" t="str">
        <f>=Servicios!$B$87</f>
        <v>Pulpotomía</v>
      </c>
      <c r="C87" s="6">
        <f>=Servicios!$H$87</f>
        <v>3</v>
      </c>
      <c r="D87" s="6">
        <f>=MIN(IF(Servicios!$E$87&gt;0,Servicios!$E$87,9.99E+99))</f>
        <v>3</v>
      </c>
      <c r="E87" s="6">
        <f>=MIN($C87*MIN(1),$D87)</f>
        <v>3</v>
      </c>
      <c r="F87" s="21">
        <f>=IF($D87&gt;0,$C87/$D87,0)</f>
        <v>0</v>
      </c>
      <c r="G87" s="23" t="str">
        <f>=IF($E87&lt;$C87-0.000001,"LIMITADA","")</f>
        <v/>
      </c>
    </row>
    <row r="88">
      <c r="A88" s="11">
        <f>=Servicios!$A$88</f>
        <v>6</v>
      </c>
      <c r="B88" s="23" t="str">
        <f>=Servicios!$B$88</f>
        <v>Drenaje de absceso</v>
      </c>
      <c r="C88" s="6">
        <f>=Servicios!$H$88</f>
        <v>5</v>
      </c>
      <c r="D88" s="6">
        <f>=MIN(IF(Servicios!$E$88&gt;0,Servicios!$E$88,9.99E+99))</f>
        <v>5</v>
      </c>
      <c r="E88" s="6">
        <f>=MIN($C88*MIN(1),$D88)</f>
        <v>5</v>
      </c>
      <c r="F88" s="21">
        <f>=IF($D88&gt;0,$C88/$D88,0)</f>
        <v>0</v>
      </c>
      <c r="G88" s="23" t="str">
        <f>=IF($E88&lt;$C88-0.000001,"LIMITADA","")</f>
        <v/>
      </c>
    </row>
    <row r="89">
      <c r="A89" s="11">
        <f>=Servicios!$A$89</f>
        <v>6</v>
      </c>
      <c r="B89" s="23" t="str">
        <f>=Servicios!$B$89</f>
        <v>Reparación de prótesis</v>
      </c>
      <c r="C89" s="6">
        <f>=Servicios!$H$89</f>
        <v>5</v>
      </c>
      <c r="D89" s="6">
        <f>=MIN(IF(Servicios!$E$89&gt;0,Servicios!$E$89,9.99E+99))</f>
        <v>5</v>
      </c>
      <c r="E89" s="6">
        <f>=MIN($C89*MIN(1),$D89)</f>
        <v>5</v>
      </c>
      <c r="F89" s="21">
        <f>=IF($D89&gt;0,$C89/$D89,0)</f>
        <v>0</v>
      </c>
      <c r="G89" s="23" t="str">
        <f>=IF($E89&lt;$C89-0.000001,"LIMITADA","")</f>
        <v/>
      </c>
    </row>
    <row r="90">
      <c r="A90" s="11">
        <f>=Servicios!$A$90</f>
        <v>6</v>
      </c>
      <c r="B90" s="23" t="str">
        <f>=Servicios!$B$90</f>
        <v>Cura de óxido de zinc</v>
      </c>
      <c r="C90" s="6">
        <f>=Servicios!$H$90</f>
        <v>25</v>
      </c>
      <c r="D90" s="6">
        <f>=MIN(IF(Servicios!$E$90&gt;0,Servicios!$E$90,9.99E+99))</f>
        <v>25</v>
      </c>
      <c r="E90" s="6">
        <f>=MIN($C90*MIN(1),$D90)</f>
        <v>25</v>
      </c>
      <c r="F90" s="21">
        <f>=IF($D90&gt;0,$C90/$D90,0)</f>
        <v>0</v>
      </c>
      <c r="G90" s="23" t="str">
        <f>=IF($E90&lt;$C90-0.000001,"LIMITADA","")</f>
        <v/>
      </c>
    </row>
    <row r="91">
      <c r="A91" s="11">
        <f>=Servicios!$A$91</f>
        <v>6</v>
      </c>
      <c r="B91" s="23" t="str">
        <f>=Servicios!$B$91</f>
        <v>Radiografía</v>
      </c>
      <c r="C91" s="6">
        <f>=Servicios!$H$91</f>
        <v>30</v>
      </c>
      <c r="D91" s="6">
        <f>=MIN(IF(Servicios!$E$91&gt;0,Servicios!$E$91,9.99E+99))</f>
        <v>30</v>
      </c>
      <c r="E91" s="6">
        <f>=MIN($C91*MIN(1),$D91)</f>
        <v>30</v>
      </c>
      <c r="F91" s="21">
        <f>=IF($D91&gt;0,$C91/$D91,0)</f>
        <v>0</v>
      </c>
      <c r="G91" s="23" t="str">
        <f>=IF($E91&lt;$C91-0.000001,"LIMITADA","")</f>
        <v/>
      </c>
    </row>
    <row r="92">
      <c r="A92" s="11">
        <f>=Servicios!$A$92</f>
        <v>6</v>
      </c>
      <c r="B92" s="23" t="str">
        <f>=Servicios!$B$92</f>
        <v>Corona acrílica</v>
      </c>
      <c r="C92" s="6">
        <f>=Servicios!$H$92</f>
        <v>10</v>
      </c>
      <c r="D92" s="6">
        <f>=MIN(IF(Servicios!$E$92&gt;0,Servicios!$E$92,9.99E+99))</f>
        <v>10</v>
      </c>
      <c r="E92" s="6">
        <f>=MIN($C92*MIN(1),$D92)</f>
        <v>10</v>
      </c>
      <c r="F92" s="21">
        <f>=IF($D92&gt;0,$C92/$D92,0)</f>
        <v>0</v>
      </c>
      <c r="G92" s="23" t="str">
        <f>=IF($E92&lt;$C92-0.000001,"LIMITADA","")</f>
        <v/>
      </c>
    </row>
    <row r="93">
      <c r="A93" s="11">
        <f>=Servicios!$A$93</f>
        <v>6</v>
      </c>
      <c r="B93" s="23" t="str">
        <f>=Servicios!$B$93</f>
        <v>Blanqueamientos</v>
      </c>
      <c r="C93" s="6">
        <f>=Servicios!$H$93</f>
        <v>10</v>
      </c>
      <c r="D93" s="6">
        <f>=MIN(IF(Servicios!$E$93&gt;0,Servicios!$E$93,9.99E+99))</f>
        <v>10</v>
      </c>
      <c r="E93" s="6">
        <f>=MIN($C93*MIN(1),$D93)</f>
        <v>10</v>
      </c>
      <c r="F93" s="21">
        <f>=IF($D93&gt;0,$C93/$D93,0)</f>
        <v>0</v>
      </c>
      <c r="G93" s="23" t="str">
        <f>=IF($E93&lt;$C93-0.000001,"LIMITADA","")</f>
        <v/>
      </c>
    </row>
    <row r="94">
      <c r="A94" s="11">
        <f>=Servicios!$A$94</f>
        <v>7</v>
      </c>
      <c r="B94" s="23" t="str">
        <f>=Servicios!$B$94</f>
        <v>Tratamientos pulporadiculares (TPR)</v>
      </c>
      <c r="C94" s="6">
        <f>=Servicios!$H$94</f>
        <v>3</v>
      </c>
      <c r="D94" s="6">
        <f>=MIN(IF(Servicios!$E$94&gt;0,Servicios!$E$94,9.99E+99))</f>
        <v>3</v>
      </c>
      <c r="E94" s="6">
        <f>=MIN($C94*MIN(1),$D94)</f>
        <v>3</v>
      </c>
      <c r="F94" s="21">
        <f>=IF($D94&gt;0,$C94/$D94,0)</f>
        <v>0</v>
      </c>
      <c r="G94" s="23" t="str">
        <f>=IF($E94&lt;$C94-0.000001,"LIMITADA","")</f>
        <v/>
      </c>
    </row>
    <row r="95">
      <c r="A95" s="11">
        <f>=Servicios!$A$95</f>
        <v>7</v>
      </c>
      <c r="B95" s="23" t="str">
        <f>=Servicios!$B$95</f>
        <v>Obturaciones de resina</v>
      </c>
      <c r="C95" s="6">
        <f>=Servicios!$H$95</f>
        <v>15</v>
      </c>
      <c r="D95" s="6">
        <f>=MIN(IF(Servicios!$E$95&gt;0,Servicios!$E$95,9.99E+99))</f>
        <v>15</v>
      </c>
      <c r="E95" s="6">
        <f>=MIN($C95*MIN(1),$D95)</f>
        <v>15</v>
      </c>
      <c r="F95" s="21">
        <f>=IF($D95&gt;0,$C95/$D95,0)</f>
        <v>0</v>
      </c>
      <c r="G95" s="23" t="str">
        <f>=IF($E95&lt;$C95-0.000001,"LIMITADA","")</f>
        <v/>
      </c>
    </row>
    <row r="96">
      <c r="A96" s="11">
        <f>=Servicios!$A$96</f>
        <v>7</v>
      </c>
      <c r="B96" s="23" t="str">
        <f>=Servicios!$B$96</f>
        <v>Obturaciones de amalgamas</v>
      </c>
      <c r="C96" s="6">
        <f>=Servicios!$H$96</f>
        <v>15</v>
      </c>
      <c r="D96" s="6">
        <f>=MIN(IF(Servicios!$E$96&gt;0,Servicios!$E$96,9.99E+99))</f>
        <v>15</v>
      </c>
      <c r="E96" s="6">
        <f>=MIN($C96*MIN(1),$D96)</f>
        <v>15</v>
      </c>
      <c r="F96" s="21">
        <f>=IF($D96&gt;0,$C96/$D96,0)</f>
        <v>0</v>
      </c>
      <c r="G96" s="23" t="str">
        <f>=IF($E96&lt;$C96-0.000001,"LIMITADA","")</f>
        <v/>
      </c>
    </row>
    <row r="97">
      <c r="A97" s="11">
        <f>=Servicios!$A$97</f>
        <v>7</v>
      </c>
      <c r="B97" s="23" t="str">
        <f>=Servicios!$B$97</f>
        <v>Profilaxis con ultrasonido</v>
      </c>
      <c r="C97" s="6">
        <f>=Servicios!$H$97</f>
        <v>10</v>
      </c>
      <c r="D97" s="6">
        <f>=MIN(IF(Servicios!$E$97&gt;0,Servicios!$E$97,9.99E+99))</f>
        <v>10</v>
      </c>
      <c r="E97" s="6">
        <f>=MIN($C97*MIN(1),$D97)</f>
        <v>10</v>
      </c>
      <c r="F97" s="21">
        <f>=IF($D97&gt;0,$C97/$D97,0)</f>
        <v>0</v>
      </c>
      <c r="G97" s="23" t="str">
        <f>=IF($E97&lt;$C97-0.000001,"LIMITADA","")</f>
        <v/>
      </c>
    </row>
    <row r="98">
      <c r="A98" s="11">
        <f>=Servicios!$A$98</f>
        <v>7</v>
      </c>
      <c r="B98" s="23" t="str">
        <f>=Servicios!$B$98</f>
        <v>Prótesis</v>
      </c>
      <c r="C98" s="6">
        <f>=Servicios!$H$98</f>
        <v>15</v>
      </c>
      <c r="D98" s="6">
        <f>=MIN(IF(Servicios!$E$98&gt;0,Servicios!$E$98,9.99E+99))</f>
        <v>15</v>
      </c>
      <c r="E98" s="6">
        <f>=MIN($C98*MIN(1),$D98)</f>
        <v>15</v>
      </c>
      <c r="F98" s="21">
        <f>=IF($D98&gt;0,$C98/$D98,0)</f>
        <v>0</v>
      </c>
      <c r="G98" s="23" t="str">
        <f>=IF($E98&lt;$C98-0.000001,"LIMITADA","")</f>
        <v/>
      </c>
    </row>
    <row r="99">
      <c r="A99" s="11">
        <f>=Servicios!$A$99</f>
        <v>7</v>
      </c>
      <c r="B99" s="23" t="str">
        <f>=Servicios!$B$99</f>
        <v>Exodoncia</v>
      </c>
      <c r="C99" s="6">
        <f>=Servicios!$H$99</f>
        <v>10</v>
      </c>
      <c r="D99" s="6">
        <f>=MIN(IF(Servicios!$E$99&gt;0,Servicios!$E$99,9.99E+99))</f>
        <v>10</v>
      </c>
      <c r="E99" s="6">
        <f>=MIN($C99*MIN(1),$D99)</f>
        <v>10</v>
      </c>
      <c r="F99" s="21">
        <f>=IF($D99&gt;0,$C99/$D99,0)</f>
        <v>0</v>
      </c>
      <c r="G99" s="23" t="str">
        <f>=IF($E99&lt;$C99-0.000001,"LIMITADA","")</f>
        <v/>
      </c>
    </row>
    <row r="100">
      <c r="A100" s="11">
        <f>=Servicios!$A$100</f>
        <v>7</v>
      </c>
      <c r="B100" s="23" t="str">
        <f>=Servicios!$B$100</f>
        <v>Resedimentado de corona</v>
      </c>
      <c r="C100" s="6">
        <f>=Servicios!$H$100</f>
        <v>5</v>
      </c>
      <c r="D100" s="6">
        <f>=MIN(IF(Servicios!$E$100&gt;0,Servicios!$E$100,9.99E+99))</f>
        <v>5</v>
      </c>
      <c r="E100" s="6">
        <f>=MIN($C100*MIN(1),$D100)</f>
        <v>5</v>
      </c>
      <c r="F100" s="21">
        <f>=IF($D100&gt;0,$C100/$D100,0)</f>
        <v>0</v>
      </c>
      <c r="G100" s="23" t="str">
        <f>=IF($E100&lt;$C100-0.000001,"LIMITADA","")</f>
        <v/>
      </c>
    </row>
    <row r="101">
      <c r="A101" s="11">
        <f>=Servicios!$A$101</f>
        <v>7</v>
      </c>
      <c r="B101" s="23" t="str">
        <f>=Servicios!$B$101</f>
        <v>Corona y espiga acrílica</v>
      </c>
      <c r="C101" s="6">
        <f>=Servicios!$H$101</f>
        <v>5</v>
      </c>
      <c r="D101" s="6">
        <f>=MIN(IF(Servicios!$E$101&gt;0,Servicios!$E$101,9.99E+99))</f>
        <v>5</v>
      </c>
      <c r="E101" s="6">
        <f>=MIN($C101*MIN(1),$D101)</f>
        <v>5</v>
      </c>
      <c r="F101" s="21">
        <f>=IF($D101&gt;0,$C101/$D101,0)</f>
        <v>0</v>
      </c>
      <c r="G101" s="23" t="str">
        <f>=IF($E101&lt;$C101-0.000001,"LIMITADA","")</f>
        <v/>
      </c>
    </row>
    <row r="102">
      <c r="A102" s="11">
        <f>=Servicios!$A$102</f>
        <v>7</v>
      </c>
      <c r="B102" s="23" t="str">
        <f>=Servicios!$B$102</f>
        <v>Pulpotomía</v>
      </c>
      <c r="C102" s="6">
        <f>=Servicios!$H$102</f>
        <v>3</v>
      </c>
      <c r="D102" s="6">
        <f>=MIN(IF(Servicios!$E$102&gt;0,Servicios!$E$102,9.99E+99))</f>
        <v>3</v>
      </c>
      <c r="E102" s="6">
        <f>=MIN($C102*MIN(1),$D102)</f>
        <v>3</v>
      </c>
      <c r="F102" s="21">
        <f>=IF($D102&gt;0,$C102/$D102,0)</f>
        <v>0</v>
      </c>
      <c r="G102" s="23" t="str">
        <f>=IF($E102&lt;$C102-0.000001,"LIMITADA","")</f>
        <v/>
      </c>
    </row>
    <row r="103">
      <c r="A103" s="11">
        <f>=Servicios!$A$103</f>
        <v>7</v>
      </c>
      <c r="B103" s="23" t="str">
        <f>=Servicios!$B$103</f>
        <v>Drenaje de absceso</v>
      </c>
      <c r="C103" s="6">
        <f>=Servicios!$H$103</f>
        <v>5</v>
      </c>
      <c r="D103" s="6">
        <f>=MIN(IF(Servicios!$E$103&gt;0,Servicios!$E$103,9.99E+99))</f>
        <v>5</v>
      </c>
      <c r="E103" s="6">
        <f>=MIN($C103*MIN(1),$D103)</f>
        <v>5</v>
      </c>
      <c r="F103" s="21">
        <f>=IF($D103&gt;0,$C103/$D103,0)</f>
        <v>0</v>
      </c>
      <c r="G103" s="23" t="str">
        <f>=IF($E103&lt;$C103-0.000001,"LIMITADA","")</f>
        <v/>
      </c>
    </row>
    <row r="104">
      <c r="A104" s="11">
        <f>=Servicios!$A$104</f>
        <v>7</v>
      </c>
      <c r="B104" s="23" t="str">
        <f>=Servicios!$B$104</f>
        <v>Reparación de prótesis</v>
      </c>
      <c r="C104" s="6">
        <f>=Servicios!$H$104</f>
        <v>5</v>
      </c>
      <c r="D104" s="6">
        <f>=MIN(IF(Servicios!$E$104&gt;0,Servicios!$E$104,9.99E+99))</f>
        <v>5</v>
      </c>
      <c r="E104" s="6">
        <f>=MIN($C104*MIN(1),$D104)</f>
        <v>5</v>
      </c>
      <c r="F104" s="21">
        <f>=IF($D104&gt;0,$C104/$D104,0)</f>
        <v>0</v>
      </c>
      <c r="G104" s="23" t="str">
        <f>=IF($E104&lt;$C104-0.000001,"LIMITADA","")</f>
        <v/>
      </c>
    </row>
    <row r="105">
      <c r="A105" s="11">
        <f>=Servicios!$A$105</f>
        <v>7</v>
      </c>
      <c r="B105" s="23" t="str">
        <f>=Servicios!$B$105</f>
        <v>Cura de óxido de zinc</v>
      </c>
      <c r="C105" s="6">
        <f>=Servicios!$H$105</f>
        <v>25</v>
      </c>
      <c r="D105" s="6">
        <f>=MIN(IF(Servicios!$E$105&gt;0,Servicios!$E$105,9.99E+99))</f>
        <v>25</v>
      </c>
      <c r="E105" s="6">
        <f>=MIN($C105*MIN(1),$D105)</f>
        <v>25</v>
      </c>
      <c r="F105" s="21">
        <f>=IF($D105&gt;0,$C105/$D105,0)</f>
        <v>0</v>
      </c>
      <c r="G105" s="23" t="str">
        <f>=IF($E105&lt;$C105-0.000001,"LIMITADA","")</f>
        <v/>
      </c>
    </row>
    <row r="106">
      <c r="A106" s="11">
        <f>=Servicios!$A$106</f>
        <v>7</v>
      </c>
      <c r="B106" s="23" t="str">
        <f>=Servicios!$B$106</f>
        <v>Radiografía</v>
      </c>
      <c r="C106" s="6">
        <f>=Servicios!$H$106</f>
        <v>30</v>
      </c>
      <c r="D106" s="6">
        <f>=MIN(IF(Servicios!$E$106&gt;0,Servicios!$E$106,9.99E+99))</f>
        <v>30</v>
      </c>
      <c r="E106" s="6">
        <f>=MIN($C106*MIN(1),$D106)</f>
        <v>30</v>
      </c>
      <c r="F106" s="21">
        <f>=IF($D106&gt;0,$C106/$D106,0)</f>
        <v>0</v>
      </c>
      <c r="G106" s="23" t="str">
        <f>=IF($E106&lt;$C106-0.000001,"LIMITADA","")</f>
        <v/>
      </c>
    </row>
    <row r="107">
      <c r="A107" s="11">
        <f>=Servicios!$A$107</f>
        <v>7</v>
      </c>
      <c r="B107" s="23" t="str">
        <f>=Servicios!$B$107</f>
        <v>Corona acrílica</v>
      </c>
      <c r="C107" s="6">
        <f>=Servicios!$H$107</f>
        <v>10</v>
      </c>
      <c r="D107" s="6">
        <f>=MIN(IF(Servicios!$E$107&gt;0,Servicios!$E$107,9.99E+99))</f>
        <v>10</v>
      </c>
      <c r="E107" s="6">
        <f>=MIN($C107*MIN(1),$D107)</f>
        <v>10</v>
      </c>
      <c r="F107" s="21">
        <f>=IF($D107&gt;0,$C107/$D107,0)</f>
        <v>0</v>
      </c>
      <c r="G107" s="23" t="str">
        <f>=IF($E107&lt;$C107-0.000001,"LIMITADA","")</f>
        <v/>
      </c>
    </row>
    <row r="108">
      <c r="A108" s="11">
        <f>=Servicios!$A$108</f>
        <v>7</v>
      </c>
      <c r="B108" s="23" t="str">
        <f>=Servicios!$B$108</f>
        <v>Blanqueamientos</v>
      </c>
      <c r="C108" s="6">
        <f>=Servicios!$H$108</f>
        <v>10</v>
      </c>
      <c r="D108" s="6">
        <f>=MIN(IF(Servicios!$E$108&gt;0,Servicios!$E$108,9.99E+99))</f>
        <v>10</v>
      </c>
      <c r="E108" s="6">
        <f>=MIN($C108*MIN(1),$D108)</f>
        <v>10</v>
      </c>
      <c r="F108" s="21">
        <f>=IF($D108&gt;0,$C108/$D108,0)</f>
        <v>0</v>
      </c>
      <c r="G108" s="23" t="str">
        <f>=IF($E108&lt;$C108-0.000001,"LIMITADA","")</f>
        <v/>
      </c>
    </row>
    <row r="109">
      <c r="A109" s="11">
        <f>=Servicios!$A$109</f>
        <v>8</v>
      </c>
      <c r="B109" s="23" t="str">
        <f>=Servicios!$B$109</f>
        <v>Tratamientos pulporadiculares (TPR)</v>
      </c>
      <c r="C109" s="6">
        <f>=Servicios!$H$109</f>
        <v>3</v>
      </c>
      <c r="D109" s="6">
        <f>=MIN(IF(Servicios!$E$109&gt;0,Servicios!$E$109,9.99E+99))</f>
        <v>3</v>
      </c>
      <c r="E109" s="6">
        <f>=MIN($C109*MIN(1),$D109)</f>
        <v>3</v>
      </c>
      <c r="F109" s="21">
        <f>=IF($D109&gt;0,$C109/$D109,0)</f>
        <v>0</v>
      </c>
      <c r="G109" s="23" t="str">
        <f>=IF($E109&lt;$C109-0.000001,"LIMITADA","")</f>
        <v/>
      </c>
    </row>
    <row r="110">
      <c r="A110" s="11">
        <f>=Servicios!$A$110</f>
        <v>8</v>
      </c>
      <c r="B110" s="23" t="str">
        <f>=Servicios!$B$110</f>
        <v>Obturaciones de resina</v>
      </c>
      <c r="C110" s="6">
        <f>=Servicios!$H$110</f>
        <v>15</v>
      </c>
      <c r="D110" s="6">
        <f>=MIN(IF(Servicios!$E$110&gt;0,Servicios!$E$110,9.99E+99))</f>
        <v>15</v>
      </c>
      <c r="E110" s="6">
        <f>=MIN($C110*MIN(1),$D110)</f>
        <v>15</v>
      </c>
      <c r="F110" s="21">
        <f>=IF($D110&gt;0,$C110/$D110,0)</f>
        <v>0</v>
      </c>
      <c r="G110" s="23" t="str">
        <f>=IF($E110&lt;$C110-0.000001,"LIMITADA","")</f>
        <v/>
      </c>
    </row>
    <row r="111">
      <c r="A111" s="11">
        <f>=Servicios!$A$111</f>
        <v>8</v>
      </c>
      <c r="B111" s="23" t="str">
        <f>=Servicios!$B$111</f>
        <v>Obturaciones de amalgamas</v>
      </c>
      <c r="C111" s="6">
        <f>=Servicios!$H$111</f>
        <v>15</v>
      </c>
      <c r="D111" s="6">
        <f>=MIN(IF(Servicios!$E$111&gt;0,Servicios!$E$111,9.99E+99))</f>
        <v>15</v>
      </c>
      <c r="E111" s="6">
        <f>=MIN($C111*MIN(1),$D111)</f>
        <v>15</v>
      </c>
      <c r="F111" s="21">
        <f>=IF($D111&gt;0,$C111/$D111,0)</f>
        <v>0</v>
      </c>
      <c r="G111" s="23" t="str">
        <f>=IF($E111&lt;$C111-0.000001,"LIMITADA","")</f>
        <v/>
      </c>
    </row>
    <row r="112">
      <c r="A112" s="11">
        <f>=Servicios!$A$112</f>
        <v>8</v>
      </c>
      <c r="B112" s="23" t="str">
        <f>=Servicios!$B$112</f>
        <v>Profilaxis con ultrasonido</v>
      </c>
      <c r="C112" s="6">
        <f>=Servicios!$H$112</f>
        <v>10</v>
      </c>
      <c r="D112" s="6">
        <f>=MIN(IF(Servicios!$E$112&gt;0,Servicios!$E$112,9.99E+99))</f>
        <v>10</v>
      </c>
      <c r="E112" s="6">
        <f>=MIN($C112*MIN(1),$D112)</f>
        <v>10</v>
      </c>
      <c r="F112" s="21">
        <f>=IF($D112&gt;0,$C112/$D112,0)</f>
        <v>0</v>
      </c>
      <c r="G112" s="23" t="str">
        <f>=IF($E112&lt;$C112-0.000001,"LIMITADA","")</f>
        <v/>
      </c>
    </row>
    <row r="113">
      <c r="A113" s="11">
        <f>=Servicios!$A$113</f>
        <v>8</v>
      </c>
      <c r="B113" s="23" t="str">
        <f>=Servicios!$B$113</f>
        <v>Prótesis</v>
      </c>
      <c r="C113" s="6">
        <f>=Servicios!$H$113</f>
        <v>15</v>
      </c>
      <c r="D113" s="6">
        <f>=MIN(IF(Servicios!$E$113&gt;0,Servicios!$E$113,9.99E+99))</f>
        <v>15</v>
      </c>
      <c r="E113" s="6">
        <f>=MIN($C113*MIN(1),$D113)</f>
        <v>15</v>
      </c>
      <c r="F113" s="21">
        <f>=IF($D113&gt;0,$C113/$D113,0)</f>
        <v>0</v>
      </c>
      <c r="G113" s="23" t="str">
        <f>=IF($E113&lt;$C113-0.000001,"LIMITADA","")</f>
        <v/>
      </c>
    </row>
    <row r="114">
      <c r="A114" s="11">
        <f>=Servicios!$A$114</f>
        <v>8</v>
      </c>
      <c r="B114" s="23" t="str">
        <f>=Servicios!$B$114</f>
        <v>Exodoncia</v>
      </c>
      <c r="C114" s="6">
        <f>=Servicios!$H$114</f>
        <v>10</v>
      </c>
      <c r="D114" s="6">
        <f>=MIN(IF(Servicios!$E$114&gt;0,Servicios!$E$114,9.99E+99))</f>
        <v>10</v>
      </c>
      <c r="E114" s="6">
        <f>=MIN($C114*MIN(1),$D114)</f>
        <v>10</v>
      </c>
      <c r="F114" s="21">
        <f>=IF($D114&gt;0,$C114/$D114,0)</f>
        <v>0</v>
      </c>
      <c r="G114" s="23" t="str">
        <f>=IF($E114&lt;$C114-0.000001,"LIMITADA","")</f>
        <v/>
      </c>
    </row>
    <row r="115">
      <c r="A115" s="11">
        <f>=Servicios!$A$115</f>
        <v>8</v>
      </c>
      <c r="B115" s="23" t="str">
        <f>=Servicios!$B$115</f>
        <v>Resedimentado de corona</v>
      </c>
      <c r="C115" s="6">
        <f>=Servicios!$H$115</f>
        <v>5</v>
      </c>
      <c r="D115" s="6">
        <f>=MIN(IF(Servicios!$E$115&gt;0,Servicios!$E$115,9.99E+99))</f>
        <v>5</v>
      </c>
      <c r="E115" s="6">
        <f>=MIN($C115*MIN(1),$D115)</f>
        <v>5</v>
      </c>
      <c r="F115" s="21">
        <f>=IF($D115&gt;0,$C115/$D115,0)</f>
        <v>0</v>
      </c>
      <c r="G115" s="23" t="str">
        <f>=IF($E115&lt;$C115-0.000001,"LIMITADA","")</f>
        <v/>
      </c>
    </row>
    <row r="116">
      <c r="A116" s="11">
        <f>=Servicios!$A$116</f>
        <v>8</v>
      </c>
      <c r="B116" s="23" t="str">
        <f>=Servicios!$B$116</f>
        <v>Corona y espiga acrílica</v>
      </c>
      <c r="C116" s="6">
        <f>=Servicios!$H$116</f>
        <v>5</v>
      </c>
      <c r="D116" s="6">
        <f>=MIN(IF(Servicios!$E$116&gt;0,Servicios!$E$116,9.99E+99))</f>
        <v>5</v>
      </c>
      <c r="E116" s="6">
        <f>=MIN($C116*MIN(1),$D116)</f>
        <v>5</v>
      </c>
      <c r="F116" s="21">
        <f>=IF($D116&gt;0,$C116/$D116,0)</f>
        <v>0</v>
      </c>
      <c r="G116" s="23" t="str">
        <f>=IF($E116&lt;$C116-0.000001,"LIMITADA","")</f>
        <v/>
      </c>
    </row>
    <row r="117">
      <c r="A117" s="11">
        <f>=Servicios!$A$117</f>
        <v>8</v>
      </c>
      <c r="B117" s="23" t="str">
        <f>=Servicios!$B$117</f>
        <v>Pulpotomía</v>
      </c>
      <c r="C117" s="6">
        <f>=Servicios!$H$117</f>
        <v>3</v>
      </c>
      <c r="D117" s="6">
        <f>=MIN(IF(Servicios!$E$117&gt;0,Servicios!$E$117,9.99E+99))</f>
        <v>3</v>
      </c>
      <c r="E117" s="6">
        <f>=MIN($C117*MIN(1),$D117)</f>
        <v>3</v>
      </c>
      <c r="F117" s="21">
        <f>=IF($D117&gt;0,$C117/$D117,0)</f>
        <v>0</v>
      </c>
      <c r="G117" s="23" t="str">
        <f>=IF($E117&lt;$C117-0.000001,"LIMITADA","")</f>
        <v/>
      </c>
    </row>
    <row r="118">
      <c r="A118" s="11">
        <f>=Servicios!$A$118</f>
        <v>8</v>
      </c>
      <c r="B118" s="23" t="str">
        <f>=Servicios!$B$118</f>
        <v>Drenaje de absceso</v>
      </c>
      <c r="C118" s="6">
        <f>=Servicios!$H$118</f>
        <v>5</v>
      </c>
      <c r="D118" s="6">
        <f>=MIN(IF(Servicios!$E$118&gt;0,Servicios!$E$118,9.99E+99))</f>
        <v>5</v>
      </c>
      <c r="E118" s="6">
        <f>=MIN($C118*MIN(1),$D118)</f>
        <v>5</v>
      </c>
      <c r="F118" s="21">
        <f>=IF($D118&gt;0,$C118/$D118,0)</f>
        <v>0</v>
      </c>
      <c r="G118" s="23" t="str">
        <f>=IF($E118&lt;$C118-0.000001,"LIMITADA","")</f>
        <v/>
      </c>
    </row>
    <row r="119">
      <c r="A119" s="11">
        <f>=Servicios!$A$119</f>
        <v>8</v>
      </c>
      <c r="B119" s="23" t="str">
        <f>=Servicios!$B$119</f>
        <v>Reparación de prótesis</v>
      </c>
      <c r="C119" s="6">
        <f>=Servicios!$H$119</f>
        <v>5</v>
      </c>
      <c r="D119" s="6">
        <f>=MIN(IF(Servicios!$E$119&gt;0,Servicios!$E$119,9.99E+99))</f>
        <v>5</v>
      </c>
      <c r="E119" s="6">
        <f>=MIN($C119*MIN(1),$D119)</f>
        <v>5</v>
      </c>
      <c r="F119" s="21">
        <f>=IF($D119&gt;0,$C119/$D119,0)</f>
        <v>0</v>
      </c>
      <c r="G119" s="23" t="str">
        <f>=IF($E119&lt;$C119-0.000001,"LIMITADA","")</f>
        <v/>
      </c>
    </row>
    <row r="120">
      <c r="A120" s="11">
        <f>=Servicios!$A$120</f>
        <v>8</v>
      </c>
      <c r="B120" s="23" t="str">
        <f>=Servicios!$B$120</f>
        <v>Cura de óxido de zinc</v>
      </c>
      <c r="C120" s="6">
        <f>=Servicios!$H$120</f>
        <v>25</v>
      </c>
      <c r="D120" s="6">
        <f>=MIN(IF(Servicios!$E$120&gt;0,Servicios!$E$120,9.99E+99))</f>
        <v>25</v>
      </c>
      <c r="E120" s="6">
        <f>=MIN($C120*MIN(1),$D120)</f>
        <v>25</v>
      </c>
      <c r="F120" s="21">
        <f>=IF($D120&gt;0,$C120/$D120,0)</f>
        <v>0</v>
      </c>
      <c r="G120" s="23" t="str">
        <f>=IF($E120&lt;$C120-0.000001,"LIMITADA","")</f>
        <v/>
      </c>
    </row>
    <row r="121">
      <c r="A121" s="11">
        <f>=Servicios!$A$121</f>
        <v>8</v>
      </c>
      <c r="B121" s="23" t="str">
        <f>=Servicios!$B$121</f>
        <v>Radiografía</v>
      </c>
      <c r="C121" s="6">
        <f>=Servicios!$H$121</f>
        <v>30</v>
      </c>
      <c r="D121" s="6">
        <f>=MIN(IF(Servicios!$E$121&gt;0,Servicios!$E$121,9.99E+99))</f>
        <v>30</v>
      </c>
      <c r="E121" s="6">
        <f>=MIN($C121*MIN(1),$D121)</f>
        <v>30</v>
      </c>
      <c r="F121" s="21">
        <f>=IF($D121&gt;0,$C121/$D121,0)</f>
        <v>0</v>
      </c>
      <c r="G121" s="23" t="str">
        <f>=IF($E121&lt;$C121-0.000001,"LIMITADA","")</f>
        <v/>
      </c>
    </row>
    <row r="122">
      <c r="A122" s="11">
        <f>=Servicios!$A$122</f>
        <v>8</v>
      </c>
      <c r="B122" s="23" t="str">
        <f>=Servicios!$B$122</f>
        <v>Corona acrílica</v>
      </c>
      <c r="C122" s="6">
        <f>=Servicios!$H$122</f>
        <v>10</v>
      </c>
      <c r="D122" s="6">
        <f>=MIN(IF(Servicios!$E$122&gt;0,Servicios!$E$122,9.99E+99))</f>
        <v>10</v>
      </c>
      <c r="E122" s="6">
        <f>=MIN($C122*MIN(1),$D122)</f>
        <v>10</v>
      </c>
      <c r="F122" s="21">
        <f>=IF($D122&gt;0,$C122/$D122,0)</f>
        <v>0</v>
      </c>
      <c r="G122" s="23" t="str">
        <f>=IF($E122&lt;$C122-0.000001,"LIMITADA","")</f>
        <v/>
      </c>
    </row>
    <row r="123">
      <c r="A123" s="11">
        <f>=Servicios!$A$123</f>
        <v>8</v>
      </c>
      <c r="B123" s="23" t="str">
        <f>=Servicios!$B$123</f>
        <v>Blanqueamientos</v>
      </c>
      <c r="C123" s="6">
        <f>=Servicios!$H$123</f>
        <v>10</v>
      </c>
      <c r="D123" s="6">
        <f>=MIN(IF(Servicios!$E$123&gt;0,Servicios!$E$123,9.99E+99))</f>
        <v>10</v>
      </c>
      <c r="E123" s="6">
        <f>=MIN($C123*MIN(1),$D123)</f>
        <v>10</v>
      </c>
      <c r="F123" s="21">
        <f>=IF($D123&gt;0,$C123/$D123,0)</f>
        <v>0</v>
      </c>
      <c r="G123" s="23" t="str">
        <f>=IF($E123&lt;$C123-0.000001,"LIMITADA","")</f>
        <v/>
      </c>
    </row>
    <row r="124">
      <c r="A124" s="11">
        <f>=Servicios!$A$124</f>
        <v>9</v>
      </c>
      <c r="B124" s="23" t="str">
        <f>=Servicios!$B$124</f>
        <v>Tratamientos pulporadiculares (TPR)</v>
      </c>
      <c r="C124" s="6">
        <f>=Servicios!$H$124</f>
        <v>3</v>
      </c>
      <c r="D124" s="6">
        <f>=MIN(IF(Servicios!$E$124&gt;0,Servicios!$E$124,9.99E+99))</f>
        <v>3</v>
      </c>
      <c r="E124" s="6">
        <f>=MIN($C124*MIN(1),$D124)</f>
        <v>3</v>
      </c>
      <c r="F124" s="21">
        <f>=IF($D124&gt;0,$C124/$D124,0)</f>
        <v>0</v>
      </c>
      <c r="G124" s="23" t="str">
        <f>=IF($E124&lt;$C124-0.000001,"LIMITADA","")</f>
        <v/>
      </c>
    </row>
    <row r="125">
      <c r="A125" s="11">
        <f>=Servicios!$A$125</f>
        <v>9</v>
      </c>
      <c r="B125" s="23" t="str">
        <f>=Servicios!$B$125</f>
        <v>Obturaciones de resina</v>
      </c>
      <c r="C125" s="6">
        <f>=Servicios!$H$125</f>
        <v>15</v>
      </c>
      <c r="D125" s="6">
        <f>=MIN(IF(Servicios!$E$125&gt;0,Servicios!$E$125,9.99E+99))</f>
        <v>15</v>
      </c>
      <c r="E125" s="6">
        <f>=MIN($C125*MIN(1),$D125)</f>
        <v>15</v>
      </c>
      <c r="F125" s="21">
        <f>=IF($D125&gt;0,$C125/$D125,0)</f>
        <v>0</v>
      </c>
      <c r="G125" s="23" t="str">
        <f>=IF($E125&lt;$C125-0.000001,"LIMITADA","")</f>
        <v/>
      </c>
    </row>
    <row r="126">
      <c r="A126" s="11">
        <f>=Servicios!$A$126</f>
        <v>9</v>
      </c>
      <c r="B126" s="23" t="str">
        <f>=Servicios!$B$126</f>
        <v>Obturaciones de amalgamas</v>
      </c>
      <c r="C126" s="6">
        <f>=Servicios!$H$126</f>
        <v>15</v>
      </c>
      <c r="D126" s="6">
        <f>=MIN(IF(Servicios!$E$126&gt;0,Servicios!$E$126,9.99E+99))</f>
        <v>15</v>
      </c>
      <c r="E126" s="6">
        <f>=MIN($C126*MIN(1),$D126)</f>
        <v>15</v>
      </c>
      <c r="F126" s="21">
        <f>=IF($D126&gt;0,$C126/$D126,0)</f>
        <v>0</v>
      </c>
      <c r="G126" s="23" t="str">
        <f>=IF($E126&lt;$C126-0.000001,"LIMITADA","")</f>
        <v/>
      </c>
    </row>
    <row r="127">
      <c r="A127" s="11">
        <f>=Servicios!$A$127</f>
        <v>9</v>
      </c>
      <c r="B127" s="23" t="str">
        <f>=Servicios!$B$127</f>
        <v>Profilaxis con ultrasonido</v>
      </c>
      <c r="C127" s="6">
        <f>=Servicios!$H$127</f>
        <v>10</v>
      </c>
      <c r="D127" s="6">
        <f>=MIN(IF(Servicios!$E$127&gt;0,Servicios!$E$127,9.99E+99))</f>
        <v>10</v>
      </c>
      <c r="E127" s="6">
        <f>=MIN($C127*MIN(1),$D127)</f>
        <v>10</v>
      </c>
      <c r="F127" s="21">
        <f>=IF($D127&gt;0,$C127/$D127,0)</f>
        <v>0</v>
      </c>
      <c r="G127" s="23" t="str">
        <f>=IF($E127&lt;$C127-0.000001,"LIMITADA","")</f>
        <v/>
      </c>
    </row>
    <row r="128">
      <c r="A128" s="11">
        <f>=Servicios!$A$128</f>
        <v>9</v>
      </c>
      <c r="B128" s="23" t="str">
        <f>=Servicios!$B$128</f>
        <v>Prótesis</v>
      </c>
      <c r="C128" s="6">
        <f>=Servicios!$H$128</f>
        <v>15</v>
      </c>
      <c r="D128" s="6">
        <f>=MIN(IF(Servicios!$E$128&gt;0,Servicios!$E$128,9.99E+99))</f>
        <v>15</v>
      </c>
      <c r="E128" s="6">
        <f>=MIN($C128*MIN(1),$D128)</f>
        <v>15</v>
      </c>
      <c r="F128" s="21">
        <f>=IF($D128&gt;0,$C128/$D128,0)</f>
        <v>0</v>
      </c>
      <c r="G128" s="23" t="str">
        <f>=IF($E128&lt;$C128-0.000001,"LIMITADA","")</f>
        <v/>
      </c>
    </row>
    <row r="129">
      <c r="A129" s="11">
        <f>=Servicios!$A$129</f>
        <v>9</v>
      </c>
      <c r="B129" s="23" t="str">
        <f>=Servicios!$B$129</f>
        <v>Exodoncia</v>
      </c>
      <c r="C129" s="6">
        <f>=Servicios!$H$129</f>
        <v>10</v>
      </c>
      <c r="D129" s="6">
        <f>=MIN(IF(Servicios!$E$129&gt;0,Servicios!$E$129,9.99E+99))</f>
        <v>10</v>
      </c>
      <c r="E129" s="6">
        <f>=MIN($C129*MIN(1),$D129)</f>
        <v>10</v>
      </c>
      <c r="F129" s="21">
        <f>=IF($D129&gt;0,$C129/$D129,0)</f>
        <v>0</v>
      </c>
      <c r="G129" s="23" t="str">
        <f>=IF($E129&lt;$C129-0.000001,"LIMITADA","")</f>
        <v/>
      </c>
    </row>
    <row r="130">
      <c r="A130" s="11">
        <f>=Servicios!$A$130</f>
        <v>9</v>
      </c>
      <c r="B130" s="23" t="str">
        <f>=Servicios!$B$130</f>
        <v>Resedimentado de corona</v>
      </c>
      <c r="C130" s="6">
        <f>=Servicios!$H$130</f>
        <v>5</v>
      </c>
      <c r="D130" s="6">
        <f>=MIN(IF(Servicios!$E$130&gt;0,Servicios!$E$130,9.99E+99))</f>
        <v>5</v>
      </c>
      <c r="E130" s="6">
        <f>=MIN($C130*MIN(1),$D130)</f>
        <v>5</v>
      </c>
      <c r="F130" s="21">
        <f>=IF($D130&gt;0,$C130/$D130,0)</f>
        <v>0</v>
      </c>
      <c r="G130" s="23" t="str">
        <f>=IF($E130&lt;$C130-0.000001,"LIMITADA","")</f>
        <v/>
      </c>
    </row>
    <row r="131">
      <c r="A131" s="11">
        <f>=Servicios!$A$131</f>
        <v>9</v>
      </c>
      <c r="B131" s="23" t="str">
        <f>=Servicios!$B$131</f>
        <v>Corona y espiga acrílica</v>
      </c>
      <c r="C131" s="6">
        <f>=Servicios!$H$131</f>
        <v>5</v>
      </c>
      <c r="D131" s="6">
        <f>=MIN(IF(Servicios!$E$131&gt;0,Servicios!$E$131,9.99E+99))</f>
        <v>5</v>
      </c>
      <c r="E131" s="6">
        <f>=MIN($C131*MIN(1),$D131)</f>
        <v>5</v>
      </c>
      <c r="F131" s="21">
        <f>=IF($D131&gt;0,$C131/$D131,0)</f>
        <v>0</v>
      </c>
      <c r="G131" s="23" t="str">
        <f>=IF($E131&lt;$C131-0.000001,"LIMITADA","")</f>
        <v/>
      </c>
    </row>
    <row r="132">
      <c r="A132" s="11">
        <f>=Servicios!$A$132</f>
        <v>9</v>
      </c>
      <c r="B132" s="23" t="str">
        <f>=Servicios!$B$132</f>
        <v>Pulpotomía</v>
      </c>
      <c r="C132" s="6">
        <f>=Servicios!$H$132</f>
        <v>3</v>
      </c>
      <c r="D132" s="6">
        <f>=MIN(IF(Servicios!$E$132&gt;0,Servicios!$E$132,9.99E+99))</f>
        <v>3</v>
      </c>
      <c r="E132" s="6">
        <f>=MIN($C132*MIN(1),$D132)</f>
        <v>3</v>
      </c>
      <c r="F132" s="21">
        <f>=IF($D132&gt;0,$C132/$D132,0)</f>
        <v>0</v>
      </c>
      <c r="G132" s="23" t="str">
        <f>=IF($E132&lt;$C132-0.000001,"LIMITADA","")</f>
        <v/>
      </c>
    </row>
    <row r="133">
      <c r="A133" s="11">
        <f>=Servicios!$A$133</f>
        <v>9</v>
      </c>
      <c r="B133" s="23" t="str">
        <f>=Servicios!$B$133</f>
        <v>Drenaje de absceso</v>
      </c>
      <c r="C133" s="6">
        <f>=Servicios!$H$133</f>
        <v>5</v>
      </c>
      <c r="D133" s="6">
        <f>=MIN(IF(Servicios!$E$133&gt;0,Servicios!$E$133,9.99E+99))</f>
        <v>5</v>
      </c>
      <c r="E133" s="6">
        <f>=MIN($C133*MIN(1),$D133)</f>
        <v>5</v>
      </c>
      <c r="F133" s="21">
        <f>=IF($D133&gt;0,$C133/$D133,0)</f>
        <v>0</v>
      </c>
      <c r="G133" s="23" t="str">
        <f>=IF($E133&lt;$C133-0.000001,"LIMITADA","")</f>
        <v/>
      </c>
    </row>
    <row r="134">
      <c r="A134" s="11">
        <f>=Servicios!$A$134</f>
        <v>9</v>
      </c>
      <c r="B134" s="23" t="str">
        <f>=Servicios!$B$134</f>
        <v>Reparación de prótesis</v>
      </c>
      <c r="C134" s="6">
        <f>=Servicios!$H$134</f>
        <v>5</v>
      </c>
      <c r="D134" s="6">
        <f>=MIN(IF(Servicios!$E$134&gt;0,Servicios!$E$134,9.99E+99))</f>
        <v>5</v>
      </c>
      <c r="E134" s="6">
        <f>=MIN($C134*MIN(1),$D134)</f>
        <v>5</v>
      </c>
      <c r="F134" s="21">
        <f>=IF($D134&gt;0,$C134/$D134,0)</f>
        <v>0</v>
      </c>
      <c r="G134" s="23" t="str">
        <f>=IF($E134&lt;$C134-0.000001,"LIMITADA","")</f>
        <v/>
      </c>
    </row>
    <row r="135">
      <c r="A135" s="11">
        <f>=Servicios!$A$135</f>
        <v>9</v>
      </c>
      <c r="B135" s="23" t="str">
        <f>=Servicios!$B$135</f>
        <v>Cura de óxido de zinc</v>
      </c>
      <c r="C135" s="6">
        <f>=Servicios!$H$135</f>
        <v>25</v>
      </c>
      <c r="D135" s="6">
        <f>=MIN(IF(Servicios!$E$135&gt;0,Servicios!$E$135,9.99E+99))</f>
        <v>25</v>
      </c>
      <c r="E135" s="6">
        <f>=MIN($C135*MIN(1),$D135)</f>
        <v>25</v>
      </c>
      <c r="F135" s="21">
        <f>=IF($D135&gt;0,$C135/$D135,0)</f>
        <v>0</v>
      </c>
      <c r="G135" s="23" t="str">
        <f>=IF($E135&lt;$C135-0.000001,"LIMITADA","")</f>
        <v/>
      </c>
    </row>
    <row r="136">
      <c r="A136" s="11">
        <f>=Servicios!$A$136</f>
        <v>9</v>
      </c>
      <c r="B136" s="23" t="str">
        <f>=Servicios!$B$136</f>
        <v>Radiografía</v>
      </c>
      <c r="C136" s="6">
        <f>=Servicios!$H$136</f>
        <v>30</v>
      </c>
      <c r="D136" s="6">
        <f>=MIN(IF(Servicios!$E$136&gt;0,Servicios!$E$136,9.99E+99))</f>
        <v>30</v>
      </c>
      <c r="E136" s="6">
        <f>=MIN($C136*MIN(1),$D136)</f>
        <v>30</v>
      </c>
      <c r="F136" s="21">
        <f>=IF($D136&gt;0,$C136/$D136,0)</f>
        <v>0</v>
      </c>
      <c r="G136" s="23" t="str">
        <f>=IF($E136&lt;$C136-0.000001,"LIMITADA","")</f>
        <v/>
      </c>
    </row>
    <row r="137">
      <c r="A137" s="11">
        <f>=Servicios!$A$137</f>
        <v>9</v>
      </c>
      <c r="B137" s="23" t="str">
        <f>=Servicios!$B$137</f>
        <v>Corona acrílica</v>
      </c>
      <c r="C137" s="6">
        <f>=Servicios!$H$137</f>
        <v>10</v>
      </c>
      <c r="D137" s="6">
        <f>=MIN(IF(Servicios!$E$137&gt;0,Servicios!$E$137,9.99E+99))</f>
        <v>10</v>
      </c>
      <c r="E137" s="6">
        <f>=MIN($C137*MIN(1),$D137)</f>
        <v>10</v>
      </c>
      <c r="F137" s="21">
        <f>=IF($D137&gt;0,$C137/$D137,0)</f>
        <v>0</v>
      </c>
      <c r="G137" s="23" t="str">
        <f>=IF($E137&lt;$C137-0.000001,"LIMITADA","")</f>
        <v/>
      </c>
    </row>
    <row r="138">
      <c r="A138" s="11">
        <f>=Servicios!$A$138</f>
        <v>9</v>
      </c>
      <c r="B138" s="23" t="str">
        <f>=Servicios!$B$138</f>
        <v>Blanqueamientos</v>
      </c>
      <c r="C138" s="6">
        <f>=Servicios!$H$138</f>
        <v>10</v>
      </c>
      <c r="D138" s="6">
        <f>=MIN(IF(Servicios!$E$138&gt;0,Servicios!$E$138,9.99E+99))</f>
        <v>10</v>
      </c>
      <c r="E138" s="6">
        <f>=MIN($C138*MIN(1),$D138)</f>
        <v>10</v>
      </c>
      <c r="F138" s="21">
        <f>=IF($D138&gt;0,$C138/$D138,0)</f>
        <v>0</v>
      </c>
      <c r="G138" s="23" t="str">
        <f>=IF($E138&lt;$C138-0.000001,"LIMITADA","")</f>
        <v/>
      </c>
    </row>
    <row r="139">
      <c r="A139" s="11">
        <f>=Servicios!$A$139</f>
        <v>10</v>
      </c>
      <c r="B139" s="23" t="str">
        <f>=Servicios!$B$139</f>
        <v>Tratamientos pulporadiculares (TPR)</v>
      </c>
      <c r="C139" s="6">
        <f>=Servicios!$H$139</f>
        <v>3</v>
      </c>
      <c r="D139" s="6">
        <f>=MIN(IF(Servicios!$E$139&gt;0,Servicios!$E$139,9.99E+99))</f>
        <v>3</v>
      </c>
      <c r="E139" s="6">
        <f>=MIN($C139*MIN(1),$D139)</f>
        <v>3</v>
      </c>
      <c r="F139" s="21">
        <f>=IF($D139&gt;0,$C139/$D139,0)</f>
        <v>0</v>
      </c>
      <c r="G139" s="23" t="str">
        <f>=IF($E139&lt;$C139-0.000001,"LIMITADA","")</f>
        <v/>
      </c>
    </row>
    <row r="140">
      <c r="A140" s="11">
        <f>=Servicios!$A$140</f>
        <v>10</v>
      </c>
      <c r="B140" s="23" t="str">
        <f>=Servicios!$B$140</f>
        <v>Obturaciones de resina</v>
      </c>
      <c r="C140" s="6">
        <f>=Servicios!$H$140</f>
        <v>15</v>
      </c>
      <c r="D140" s="6">
        <f>=MIN(IF(Servicios!$E$140&gt;0,Servicios!$E$140,9.99E+99))</f>
        <v>15</v>
      </c>
      <c r="E140" s="6">
        <f>=MIN($C140*MIN(1),$D140)</f>
        <v>15</v>
      </c>
      <c r="F140" s="21">
        <f>=IF($D140&gt;0,$C140/$D140,0)</f>
        <v>0</v>
      </c>
      <c r="G140" s="23" t="str">
        <f>=IF($E140&lt;$C140-0.000001,"LIMITADA","")</f>
        <v/>
      </c>
    </row>
    <row r="141">
      <c r="A141" s="11">
        <f>=Servicios!$A$141</f>
        <v>10</v>
      </c>
      <c r="B141" s="23" t="str">
        <f>=Servicios!$B$141</f>
        <v>Obturaciones de amalgamas</v>
      </c>
      <c r="C141" s="6">
        <f>=Servicios!$H$141</f>
        <v>15</v>
      </c>
      <c r="D141" s="6">
        <f>=MIN(IF(Servicios!$E$141&gt;0,Servicios!$E$141,9.99E+99))</f>
        <v>15</v>
      </c>
      <c r="E141" s="6">
        <f>=MIN($C141*MIN(1),$D141)</f>
        <v>15</v>
      </c>
      <c r="F141" s="21">
        <f>=IF($D141&gt;0,$C141/$D141,0)</f>
        <v>0</v>
      </c>
      <c r="G141" s="23" t="str">
        <f>=IF($E141&lt;$C141-0.000001,"LIMITADA","")</f>
        <v/>
      </c>
    </row>
    <row r="142">
      <c r="A142" s="11">
        <f>=Servicios!$A$142</f>
        <v>10</v>
      </c>
      <c r="B142" s="23" t="str">
        <f>=Servicios!$B$142</f>
        <v>Profilaxis con ultrasonido</v>
      </c>
      <c r="C142" s="6">
        <f>=Servicios!$H$142</f>
        <v>10</v>
      </c>
      <c r="D142" s="6">
        <f>=MIN(IF(Servicios!$E$142&gt;0,Servicios!$E$142,9.99E+99))</f>
        <v>10</v>
      </c>
      <c r="E142" s="6">
        <f>=MIN($C142*MIN(1),$D142)</f>
        <v>10</v>
      </c>
      <c r="F142" s="21">
        <f>=IF($D142&gt;0,$C142/$D142,0)</f>
        <v>0</v>
      </c>
      <c r="G142" s="23" t="str">
        <f>=IF($E142&lt;$C142-0.000001,"LIMITADA","")</f>
        <v/>
      </c>
    </row>
    <row r="143">
      <c r="A143" s="11">
        <f>=Servicios!$A$143</f>
        <v>10</v>
      </c>
      <c r="B143" s="23" t="str">
        <f>=Servicios!$B$143</f>
        <v>Prótesis</v>
      </c>
      <c r="C143" s="6">
        <f>=Servicios!$H$143</f>
        <v>15</v>
      </c>
      <c r="D143" s="6">
        <f>=MIN(IF(Servicios!$E$143&gt;0,Servicios!$E$143,9.99E+99))</f>
        <v>15</v>
      </c>
      <c r="E143" s="6">
        <f>=MIN($C143*MIN(1),$D143)</f>
        <v>15</v>
      </c>
      <c r="F143" s="21">
        <f>=IF($D143&gt;0,$C143/$D143,0)</f>
        <v>0</v>
      </c>
      <c r="G143" s="23" t="str">
        <f>=IF($E143&lt;$C143-0.000001,"LIMITADA","")</f>
        <v/>
      </c>
    </row>
    <row r="144">
      <c r="A144" s="11">
        <f>=Servicios!$A$144</f>
        <v>10</v>
      </c>
      <c r="B144" s="23" t="str">
        <f>=Servicios!$B$144</f>
        <v>Exodoncia</v>
      </c>
      <c r="C144" s="6">
        <f>=Servicios!$H$144</f>
        <v>10</v>
      </c>
      <c r="D144" s="6">
        <f>=MIN(IF(Servicios!$E$144&gt;0,Servicios!$E$144,9.99E+99))</f>
        <v>10</v>
      </c>
      <c r="E144" s="6">
        <f>=MIN($C144*MIN(1),$D144)</f>
        <v>10</v>
      </c>
      <c r="F144" s="21">
        <f>=IF($D144&gt;0,$C144/$D144,0)</f>
        <v>0</v>
      </c>
      <c r="G144" s="23" t="str">
        <f>=IF($E144&lt;$C144-0.000001,"LIMITADA","")</f>
        <v/>
      </c>
    </row>
    <row r="145">
      <c r="A145" s="11">
        <f>=Servicios!$A$145</f>
        <v>10</v>
      </c>
      <c r="B145" s="23" t="str">
        <f>=Servicios!$B$145</f>
        <v>Resedimentado de corona</v>
      </c>
      <c r="C145" s="6">
        <f>=Servicios!$H$145</f>
        <v>5</v>
      </c>
      <c r="D145" s="6">
        <f>=MIN(IF(Servicios!$E$145&gt;0,Servicios!$E$145,9.99E+99))</f>
        <v>5</v>
      </c>
      <c r="E145" s="6">
        <f>=MIN($C145*MIN(1),$D145)</f>
        <v>5</v>
      </c>
      <c r="F145" s="21">
        <f>=IF($D145&gt;0,$C145/$D145,0)</f>
        <v>0</v>
      </c>
      <c r="G145" s="23" t="str">
        <f>=IF($E145&lt;$C145-0.000001,"LIMITADA","")</f>
        <v/>
      </c>
    </row>
    <row r="146">
      <c r="A146" s="11">
        <f>=Servicios!$A$146</f>
        <v>10</v>
      </c>
      <c r="B146" s="23" t="str">
        <f>=Servicios!$B$146</f>
        <v>Corona y espiga acrílica</v>
      </c>
      <c r="C146" s="6">
        <f>=Servicios!$H$146</f>
        <v>5</v>
      </c>
      <c r="D146" s="6">
        <f>=MIN(IF(Servicios!$E$146&gt;0,Servicios!$E$146,9.99E+99))</f>
        <v>5</v>
      </c>
      <c r="E146" s="6">
        <f>=MIN($C146*MIN(1),$D146)</f>
        <v>5</v>
      </c>
      <c r="F146" s="21">
        <f>=IF($D146&gt;0,$C146/$D146,0)</f>
        <v>0</v>
      </c>
      <c r="G146" s="23" t="str">
        <f>=IF($E146&lt;$C146-0.000001,"LIMITADA","")</f>
        <v/>
      </c>
    </row>
    <row r="147">
      <c r="A147" s="11">
        <f>=Servicios!$A$147</f>
        <v>10</v>
      </c>
      <c r="B147" s="23" t="str">
        <f>=Servicios!$B$147</f>
        <v>Pulpotomía</v>
      </c>
      <c r="C147" s="6">
        <f>=Servicios!$H$147</f>
        <v>3</v>
      </c>
      <c r="D147" s="6">
        <f>=MIN(IF(Servicios!$E$147&gt;0,Servicios!$E$147,9.99E+99))</f>
        <v>3</v>
      </c>
      <c r="E147" s="6">
        <f>=MIN($C147*MIN(1),$D147)</f>
        <v>3</v>
      </c>
      <c r="F147" s="21">
        <f>=IF($D147&gt;0,$C147/$D147,0)</f>
        <v>0</v>
      </c>
      <c r="G147" s="23" t="str">
        <f>=IF($E147&lt;$C147-0.000001,"LIMITADA","")</f>
        <v/>
      </c>
    </row>
    <row r="148">
      <c r="A148" s="11">
        <f>=Servicios!$A$148</f>
        <v>10</v>
      </c>
      <c r="B148" s="23" t="str">
        <f>=Servicios!$B$148</f>
        <v>Drenaje de absceso</v>
      </c>
      <c r="C148" s="6">
        <f>=Servicios!$H$148</f>
        <v>5</v>
      </c>
      <c r="D148" s="6">
        <f>=MIN(IF(Servicios!$E$148&gt;0,Servicios!$E$148,9.99E+99))</f>
        <v>5</v>
      </c>
      <c r="E148" s="6">
        <f>=MIN($C148*MIN(1),$D148)</f>
        <v>5</v>
      </c>
      <c r="F148" s="21">
        <f>=IF($D148&gt;0,$C148/$D148,0)</f>
        <v>0</v>
      </c>
      <c r="G148" s="23" t="str">
        <f>=IF($E148&lt;$C148-0.000001,"LIMITADA","")</f>
        <v/>
      </c>
    </row>
    <row r="149">
      <c r="A149" s="11">
        <f>=Servicios!$A$149</f>
        <v>10</v>
      </c>
      <c r="B149" s="23" t="str">
        <f>=Servicios!$B$149</f>
        <v>Reparación de prótesis</v>
      </c>
      <c r="C149" s="6">
        <f>=Servicios!$H$149</f>
        <v>5</v>
      </c>
      <c r="D149" s="6">
        <f>=MIN(IF(Servicios!$E$149&gt;0,Servicios!$E$149,9.99E+99))</f>
        <v>5</v>
      </c>
      <c r="E149" s="6">
        <f>=MIN($C149*MIN(1),$D149)</f>
        <v>5</v>
      </c>
      <c r="F149" s="21">
        <f>=IF($D149&gt;0,$C149/$D149,0)</f>
        <v>0</v>
      </c>
      <c r="G149" s="23" t="str">
        <f>=IF($E149&lt;$C149-0.000001,"LIMITADA","")</f>
        <v/>
      </c>
    </row>
    <row r="150">
      <c r="A150" s="11">
        <f>=Servicios!$A$150</f>
        <v>10</v>
      </c>
      <c r="B150" s="23" t="str">
        <f>=Servicios!$B$150</f>
        <v>Cura de óxido de zinc</v>
      </c>
      <c r="C150" s="6">
        <f>=Servicios!$H$150</f>
        <v>25</v>
      </c>
      <c r="D150" s="6">
        <f>=MIN(IF(Servicios!$E$150&gt;0,Servicios!$E$150,9.99E+99))</f>
        <v>25</v>
      </c>
      <c r="E150" s="6">
        <f>=MIN($C150*MIN(1),$D150)</f>
        <v>25</v>
      </c>
      <c r="F150" s="21">
        <f>=IF($D150&gt;0,$C150/$D150,0)</f>
        <v>0</v>
      </c>
      <c r="G150" s="23" t="str">
        <f>=IF($E150&lt;$C150-0.000001,"LIMITADA","")</f>
        <v/>
      </c>
    </row>
    <row r="151">
      <c r="A151" s="11">
        <f>=Servicios!$A$151</f>
        <v>10</v>
      </c>
      <c r="B151" s="23" t="str">
        <f>=Servicios!$B$151</f>
        <v>Radiografía</v>
      </c>
      <c r="C151" s="6">
        <f>=Servicios!$H$151</f>
        <v>30</v>
      </c>
      <c r="D151" s="6">
        <f>=MIN(IF(Servicios!$E$151&gt;0,Servicios!$E$151,9.99E+99))</f>
        <v>30</v>
      </c>
      <c r="E151" s="6">
        <f>=MIN($C151*MIN(1),$D151)</f>
        <v>30</v>
      </c>
      <c r="F151" s="21">
        <f>=IF($D151&gt;0,$C151/$D151,0)</f>
        <v>0</v>
      </c>
      <c r="G151" s="23" t="str">
        <f>=IF($E151&lt;$C151-0.000001,"LIMITADA","")</f>
        <v/>
      </c>
    </row>
    <row r="152">
      <c r="A152" s="11">
        <f>=Servicios!$A$152</f>
        <v>10</v>
      </c>
      <c r="B152" s="23" t="str">
        <f>=Servicios!$B$152</f>
        <v>Corona acrílica</v>
      </c>
      <c r="C152" s="6">
        <f>=Servicios!$H$152</f>
        <v>10</v>
      </c>
      <c r="D152" s="6">
        <f>=MIN(IF(Servicios!$E$152&gt;0,Servicios!$E$152,9.99E+99))</f>
        <v>10</v>
      </c>
      <c r="E152" s="6">
        <f>=MIN($C152*MIN(1),$D152)</f>
        <v>10</v>
      </c>
      <c r="F152" s="21">
        <f>=IF($D152&gt;0,$C152/$D152,0)</f>
        <v>0</v>
      </c>
      <c r="G152" s="23" t="str">
        <f>=IF($E152&lt;$C152-0.000001,"LIMITADA","")</f>
        <v/>
      </c>
    </row>
    <row r="153">
      <c r="A153" s="11">
        <f>=Servicios!$A$153</f>
        <v>10</v>
      </c>
      <c r="B153" s="23" t="str">
        <f>=Servicios!$B$153</f>
        <v>Blanqueamientos</v>
      </c>
      <c r="C153" s="6">
        <f>=Servicios!$H$153</f>
        <v>10</v>
      </c>
      <c r="D153" s="6">
        <f>=MIN(IF(Servicios!$E$153&gt;0,Servicios!$E$153,9.99E+99))</f>
        <v>10</v>
      </c>
      <c r="E153" s="6">
        <f>=MIN($C153*MIN(1),$D153)</f>
        <v>10</v>
      </c>
      <c r="F153" s="21">
        <f>=IF($D153&gt;0,$C153/$D153,0)</f>
        <v>0</v>
      </c>
      <c r="G153" s="23" t="str">
        <f>=IF($E153&lt;$C153-0.000001,"LIMITADA","")</f>
        <v/>
      </c>
    </row>
    <row r="156">
      <c r="A156" s="10" t="str">
        <v>Recurso</v>
      </c>
      <c r="B156" s="10" t="str">
        <v>Tipo</v>
      </c>
      <c r="C156" s="10" t="str">
        <v>Cantidad</v>
      </c>
      <c r="D156" s="10" t="str">
        <v>Horas/día</v>
      </c>
      <c r="E156" s="10" t="str">
        <v>Días/año</v>
      </c>
      <c r="F156" s="10" t="str">
        <v>Mantenimiento %</v>
      </c>
      <c r="G156" s="10" t="str">
        <v>Disponible desde año</v>
      </c>
      <c r="H156" s="10" t="str">
        <v>Observación</v>
      </c>
    </row>
    <row r="158">
      <c r="A158" s="3" t="str">
        <v>Minutos-mes disponibles, demandados, escala pro-rata y utilización por recurso</v>
      </c>
      <c r="I158" s="10" t="str">
        <v>Minutos-mes por recurso y año (I = año 0)</v>
      </c>
    </row>
    <row r="159">
      <c r="I159" s="10" t="str">
        <v>Año 0</v>
      </c>
      <c r="J159" s="10" t="str">
        <v>Año 1</v>
      </c>
      <c r="K159" s="10" t="str">
        <v>Año 2</v>
      </c>
      <c r="L159" s="10" t="str">
        <v>Año 3</v>
      </c>
      <c r="M159" s="10" t="str">
        <v>Año 4</v>
      </c>
      <c r="N159" s="10" t="str">
        <v>Año 5</v>
      </c>
      <c r="O159" s="10" t="str">
        <v>Año 6</v>
      </c>
      <c r="P159" s="10" t="str">
        <v>Año 7</v>
      </c>
      <c r="Q159" s="10" t="str">
        <v>Año 8</v>
      </c>
      <c r="R159" s="10" t="str">
        <v>Año 9</v>
      </c>
      <c r="S159" s="10" t="str">
        <v>Año 10</v>
      </c>
    </row>
    <row r="162">
      <c r="A162" s="3" t="str">
        <v>Ampliaciones programadas (escenario B)</v>
      </c>
    </row>
    <row r="163">
      <c r="A163" s="10" t="str">
        <v>Recurso</v>
      </c>
      <c r="B163" s="10" t="str">
        <v>Año</v>
      </c>
      <c r="C163" s="10" t="str">
        <v>Cantidad</v>
      </c>
      <c r="D163" s="10" t="str">
        <v>Costo (kUSD)</v>
      </c>
      <c r="E163" s="10" t="str">
        <v>Vida útil</v>
      </c>
      <c r="F163" s="10" t="str">
        <v>Observación</v>
      </c>
    </row>
    <row r="165">
      <c r="A165" s="8" t="str">
        <v>Escenario A: estas ampliaciones NO se aplican; cámbiese a escenario B para activarlas.</v>
      </c>
    </row>
  </sheetData>
  <ignoredErrors>
    <ignoredError numberStoredAsText="1" sqref="A1:S165"/>
  </ignoredErrors>
</worksheet>
</file>

<file path=xl/worksheets/sheet12.xml><?xml version="1.0" encoding="utf-8"?>
<worksheet xmlns="http://schemas.openxmlformats.org/spreadsheetml/2006/main" xmlns:r="http://schemas.openxmlformats.org/officeDocument/2006/relationships">
  <dimension ref="A1:N38"/>
  <sheetViews>
    <sheetView workbookViewId="0"/>
  </sheetViews>
  <cols>
    <col min="1" max="1" width="46.83203125" customWidth="1"/>
    <col min="2" max="2" width="8.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 min="13" max="13" width="11.83203125" customWidth="1"/>
    <col min="14" max="14" width="12.83203125" customWidth="1"/>
  </cols>
  <sheetData>
    <row r="1">
      <c r="A1" s="3" t="str">
        <v>Proyección de ingresos, costos, utilidades y flujos (4.7) — miles de USD</v>
      </c>
    </row>
    <row r="2">
      <c r="A2" s="8" t="str">
        <v>Año 0 = montaje (solo efectos reales de esa fase); años 1–N = operación. Celdas ámbar = entrada; verdes = fórmula con referencias entre hojas (incluidas las hojas del motor: Depreciacion, Deuda, FlujosCaja y Dividendos).</v>
      </c>
    </row>
    <row r="3">
      <c r="A3" s="10" t="str">
        <v>Concepto</v>
      </c>
      <c r="B3" s="10" t="str">
        <v>Unidad</v>
      </c>
      <c r="C3" s="26">
        <v>0</v>
      </c>
      <c r="D3" s="26">
        <v>1</v>
      </c>
      <c r="E3" s="26">
        <v>2</v>
      </c>
      <c r="F3" s="26">
        <v>3</v>
      </c>
      <c r="G3" s="26">
        <v>4</v>
      </c>
      <c r="H3" s="26">
        <v>5</v>
      </c>
      <c r="I3" s="26">
        <v>6</v>
      </c>
      <c r="J3" s="26">
        <v>7</v>
      </c>
      <c r="K3" s="26">
        <v>8</v>
      </c>
      <c r="L3" s="26">
        <v>9</v>
      </c>
      <c r="M3" s="26">
        <v>10</v>
      </c>
      <c r="N3" s="26" t="str">
        <v>Total</v>
      </c>
    </row>
    <row r="4">
      <c r="A4" s="2" t="str">
        <v>Ingresos por servicios (USD)</v>
      </c>
      <c r="B4" s="2" t="str">
        <v>USD</v>
      </c>
      <c r="C4" s="6">
        <f>=SUMIFS(Servicios!$L$4:$L$153,Servicios!$A$4:$A$153,C$3)</f>
        <v>0</v>
      </c>
      <c r="D4" s="6">
        <f>=SUMIFS(Servicios!$L$4:$L$153,Servicios!$A$4:$A$153,D$3)</f>
        <v>115814</v>
      </c>
      <c r="E4" s="6">
        <f>=SUMIFS(Servicios!$L$4:$L$153,Servicios!$A$4:$A$153,E$3)</f>
        <v>115814</v>
      </c>
      <c r="F4" s="6">
        <f>=SUMIFS(Servicios!$L$4:$L$153,Servicios!$A$4:$A$153,F$3)</f>
        <v>115814</v>
      </c>
      <c r="G4" s="6">
        <f>=SUMIFS(Servicios!$L$4:$L$153,Servicios!$A$4:$A$153,G$3)</f>
        <v>115814</v>
      </c>
      <c r="H4" s="6">
        <f>=SUMIFS(Servicios!$L$4:$L$153,Servicios!$A$4:$A$153,H$3)</f>
        <v>115814</v>
      </c>
      <c r="I4" s="6">
        <f>=SUMIFS(Servicios!$L$4:$L$153,Servicios!$A$4:$A$153,I$3)</f>
        <v>115814</v>
      </c>
      <c r="J4" s="6">
        <f>=SUMIFS(Servicios!$L$4:$L$153,Servicios!$A$4:$A$153,J$3)</f>
        <v>115814</v>
      </c>
      <c r="K4" s="6">
        <f>=SUMIFS(Servicios!$L$4:$L$153,Servicios!$A$4:$A$153,K$3)</f>
        <v>115814</v>
      </c>
      <c r="L4" s="6">
        <f>=SUMIFS(Servicios!$L$4:$L$153,Servicios!$A$4:$A$153,L$3)</f>
        <v>115814</v>
      </c>
      <c r="M4" s="6">
        <f>=SUMIFS(Servicios!$L$4:$L$153,Servicios!$A$4:$A$153,M$3)</f>
        <v>115814</v>
      </c>
      <c r="N4" s="19" t="str">
        <f>=SUM(C4:M4)</f>
        <v>#ERROR</v>
      </c>
    </row>
    <row r="5">
      <c r="A5" s="2" t="str">
        <v>Ingresos por servicios</v>
      </c>
      <c r="B5" s="2" t="str">
        <v>kUSD</v>
      </c>
      <c r="C5" s="6">
        <f>=(C$4/1000)</f>
        <v>0</v>
      </c>
      <c r="D5" s="6">
        <f>=(D$4/1000)</f>
        <v>115.814</v>
      </c>
      <c r="E5" s="6">
        <f>=(E$4/1000)</f>
        <v>115.814</v>
      </c>
      <c r="F5" s="6">
        <f>=(F$4/1000)</f>
        <v>115.814</v>
      </c>
      <c r="G5" s="6">
        <f>=(G$4/1000)</f>
        <v>115.814</v>
      </c>
      <c r="H5" s="6">
        <f>=(H$4/1000)</f>
        <v>115.814</v>
      </c>
      <c r="I5" s="6">
        <f>=(I$4/1000)</f>
        <v>115.814</v>
      </c>
      <c r="J5" s="6">
        <f>=(J$4/1000)</f>
        <v>115.814</v>
      </c>
      <c r="K5" s="6">
        <f>=(K$4/1000)</f>
        <v>115.814</v>
      </c>
      <c r="L5" s="6">
        <f>=(L$4/1000)</f>
        <v>115.814</v>
      </c>
      <c r="M5" s="6">
        <f>=(M$4/1000)</f>
        <v>115.814</v>
      </c>
      <c r="N5" s="19" t="str">
        <f>=SUM(C5:M5)</f>
        <v>#ERROR</v>
      </c>
    </row>
    <row r="6">
      <c r="A6" s="2" t="str">
        <v>Otros ingresos (editable)</v>
      </c>
      <c r="B6" s="2" t="str">
        <v>kUSD</v>
      </c>
      <c r="C6" s="14">
        <v>0</v>
      </c>
      <c r="D6" s="14">
        <v>0</v>
      </c>
      <c r="E6" s="14">
        <v>0</v>
      </c>
      <c r="F6" s="14">
        <v>0</v>
      </c>
      <c r="G6" s="14">
        <v>0</v>
      </c>
      <c r="H6" s="14">
        <v>0</v>
      </c>
      <c r="I6" s="14">
        <v>0</v>
      </c>
      <c r="J6" s="14">
        <v>0</v>
      </c>
      <c r="K6" s="14">
        <v>0</v>
      </c>
      <c r="L6" s="14">
        <v>0</v>
      </c>
      <c r="M6" s="14">
        <v>0</v>
      </c>
      <c r="N6" s="19">
        <f>=SUM(C6:M6)</f>
        <v>0</v>
      </c>
    </row>
    <row r="7">
      <c r="A7" s="20" t="str">
        <v>INGRESOS TOTALES</v>
      </c>
      <c r="B7" s="2" t="str">
        <v>kUSD</v>
      </c>
      <c r="C7" s="19">
        <f>=(C$5+C$6)</f>
        <v>0</v>
      </c>
      <c r="D7" s="19">
        <f>=(D$5+D$6)</f>
        <v>115.814</v>
      </c>
      <c r="E7" s="19">
        <f>=(E$5+E$6)</f>
        <v>115.814</v>
      </c>
      <c r="F7" s="19">
        <f>=(F$5+F$6)</f>
        <v>115.814</v>
      </c>
      <c r="G7" s="19">
        <f>=(G$5+G$6)</f>
        <v>115.814</v>
      </c>
      <c r="H7" s="19">
        <f>=(H$5+H$6)</f>
        <v>115.814</v>
      </c>
      <c r="I7" s="19">
        <f>=(I$5+I$6)</f>
        <v>115.814</v>
      </c>
      <c r="J7" s="19">
        <f>=(J$5+J$6)</f>
        <v>115.814</v>
      </c>
      <c r="K7" s="19">
        <f>=(K$5+K$6)</f>
        <v>115.814</v>
      </c>
      <c r="L7" s="19">
        <f>=(L$5+L$6)</f>
        <v>115.814</v>
      </c>
      <c r="M7" s="19">
        <f>=(M$5+M$6)</f>
        <v>115.814</v>
      </c>
      <c r="N7" s="19" t="str">
        <f>=SUM(C7:M7)</f>
        <v>#ERROR</v>
      </c>
    </row>
    <row r="8">
      <c r="A8" s="2" t="str">
        <v>Costos variables (USD)</v>
      </c>
      <c r="B8" s="2" t="str">
        <v>USD</v>
      </c>
      <c r="C8" s="6">
        <f>=SUMIFS(Servicios!$M$4:$M$153,Servicios!$A$4:$A$153,C$3)</f>
        <v>0</v>
      </c>
      <c r="D8" s="6">
        <f>=SUMIFS(Servicios!$M$4:$M$153,Servicios!$A$4:$A$153,D$3)</f>
        <v>127163.28</v>
      </c>
      <c r="E8" s="6">
        <f>=SUMIFS(Servicios!$M$4:$M$153,Servicios!$A$4:$A$153,E$3)</f>
        <v>127163.28</v>
      </c>
      <c r="F8" s="6">
        <f>=SUMIFS(Servicios!$M$4:$M$153,Servicios!$A$4:$A$153,F$3)</f>
        <v>127163.28</v>
      </c>
      <c r="G8" s="6">
        <f>=SUMIFS(Servicios!$M$4:$M$153,Servicios!$A$4:$A$153,G$3)</f>
        <v>127163.28</v>
      </c>
      <c r="H8" s="6">
        <f>=SUMIFS(Servicios!$M$4:$M$153,Servicios!$A$4:$A$153,H$3)</f>
        <v>127163.28</v>
      </c>
      <c r="I8" s="6">
        <f>=SUMIFS(Servicios!$M$4:$M$153,Servicios!$A$4:$A$153,I$3)</f>
        <v>127163.28</v>
      </c>
      <c r="J8" s="6">
        <f>=SUMIFS(Servicios!$M$4:$M$153,Servicios!$A$4:$A$153,J$3)</f>
        <v>127163.28</v>
      </c>
      <c r="K8" s="6">
        <f>=SUMIFS(Servicios!$M$4:$M$153,Servicios!$A$4:$A$153,K$3)</f>
        <v>127163.28</v>
      </c>
      <c r="L8" s="6">
        <f>=SUMIFS(Servicios!$M$4:$M$153,Servicios!$A$4:$A$153,L$3)</f>
        <v>127163.28</v>
      </c>
      <c r="M8" s="6">
        <f>=SUMIFS(Servicios!$M$4:$M$153,Servicios!$A$4:$A$153,M$3)</f>
        <v>127163.28</v>
      </c>
      <c r="N8" s="19" t="str">
        <f>=SUM(C8:M8)</f>
        <v>#ERROR</v>
      </c>
    </row>
    <row r="9">
      <c r="A9" s="2" t="str">
        <v>Costos variables</v>
      </c>
      <c r="B9" s="2" t="str">
        <v>kUSD</v>
      </c>
      <c r="C9" s="6">
        <f>=(C$8/1000)</f>
        <v>0</v>
      </c>
      <c r="D9" s="6">
        <f>=(D$8/1000)</f>
        <v>127.16328</v>
      </c>
      <c r="E9" s="6">
        <f>=(E$8/1000)</f>
        <v>127.16328</v>
      </c>
      <c r="F9" s="6">
        <f>=(F$8/1000)</f>
        <v>127.16328</v>
      </c>
      <c r="G9" s="6">
        <f>=(G$8/1000)</f>
        <v>127.16328</v>
      </c>
      <c r="H9" s="6">
        <f>=(H$8/1000)</f>
        <v>127.16328</v>
      </c>
      <c r="I9" s="6">
        <f>=(I$8/1000)</f>
        <v>127.16328</v>
      </c>
      <c r="J9" s="6">
        <f>=(J$8/1000)</f>
        <v>127.16328</v>
      </c>
      <c r="K9" s="6">
        <f>=(K$8/1000)</f>
        <v>127.16328</v>
      </c>
      <c r="L9" s="6">
        <f>=(L$8/1000)</f>
        <v>127.16328</v>
      </c>
      <c r="M9" s="6">
        <f>=(M$8/1000)</f>
        <v>127.16328</v>
      </c>
      <c r="N9" s="19" t="str">
        <f>=SUM(C9:M9)</f>
        <v>#ERROR</v>
      </c>
    </row>
    <row r="10">
      <c r="A10" s="2" t="str">
        <v>Costo laboral (CUP)</v>
      </c>
      <c r="B10" s="2" t="str">
        <v>CUP</v>
      </c>
      <c r="C10" s="6">
        <f>=(SUMPRODUCT((Personal!$A$4:$A$53=C$3)*$D$4:$D$53*$F$4:$F$53)*Parametros!$C$15)</f>
        <v>0</v>
      </c>
      <c r="D10" s="6">
        <f>=(SUMPRODUCT((Personal!$A$4:$A$53=D$3)*$D$4:$D$53*$F$4:$F$53)*Parametros!$C$15)</f>
        <v>4320000</v>
      </c>
      <c r="E10" s="6">
        <f>=(SUMPRODUCT((Personal!$A$4:$A$53=E$3)*$D$4:$D$53*$F$4:$F$53)*Parametros!$C$15)</f>
        <v>4320000</v>
      </c>
      <c r="F10" s="6">
        <f>=(SUMPRODUCT((Personal!$A$4:$A$53=F$3)*$D$4:$D$53*$F$4:$F$53)*Parametros!$C$15)</f>
        <v>4320000</v>
      </c>
      <c r="G10" s="6">
        <f>=(SUMPRODUCT((Personal!$A$4:$A$53=G$3)*$D$4:$D$53*$F$4:$F$53)*Parametros!$C$15)</f>
        <v>4320000</v>
      </c>
      <c r="H10" s="6">
        <f>=(SUMPRODUCT((Personal!$A$4:$A$53=H$3)*$D$4:$D$53*$F$4:$F$53)*Parametros!$C$15)</f>
        <v>4320000</v>
      </c>
      <c r="I10" s="6">
        <f>=(SUMPRODUCT((Personal!$A$4:$A$53=I$3)*$D$4:$D$53*$F$4:$F$53)*Parametros!$C$15)</f>
        <v>4320000</v>
      </c>
      <c r="J10" s="6">
        <f>=(SUMPRODUCT((Personal!$A$4:$A$53=J$3)*$D$4:$D$53*$F$4:$F$53)*Parametros!$C$15)</f>
        <v>4320000</v>
      </c>
      <c r="K10" s="6">
        <f>=(SUMPRODUCT((Personal!$A$4:$A$53=K$3)*$D$4:$D$53*$F$4:$F$53)*Parametros!$C$15)</f>
        <v>4320000</v>
      </c>
      <c r="L10" s="6">
        <f>=(SUMPRODUCT((Personal!$A$4:$A$53=L$3)*$D$4:$D$53*$F$4:$F$53)*Parametros!$C$15)</f>
        <v>4320000</v>
      </c>
      <c r="M10" s="6">
        <f>=(SUMPRODUCT((Personal!$A$4:$A$53=M$3)*$D$4:$D$53*$F$4:$F$53)*Parametros!$C$15)</f>
        <v>4320000</v>
      </c>
      <c r="N10" s="19" t="str">
        <f>=SUM(C10:M10)</f>
        <v>#ERROR</v>
      </c>
    </row>
    <row r="11">
      <c r="A11" s="2" t="str">
        <v>Costo laboral</v>
      </c>
      <c r="B11" s="2" t="str">
        <v>kUSD</v>
      </c>
      <c r="C11" s="6">
        <f>=((C$10/Parametros!$C$4)/1000)</f>
        <v>0</v>
      </c>
      <c r="D11" s="6">
        <f>=((D$10/Parametros!$C$4)/1000)</f>
        <v>36</v>
      </c>
      <c r="E11" s="6">
        <f>=((E$10/Parametros!$C$4)/1000)</f>
        <v>36</v>
      </c>
      <c r="F11" s="6">
        <f>=((F$10/Parametros!$C$4)/1000)</f>
        <v>36</v>
      </c>
      <c r="G11" s="6">
        <f>=((G$10/Parametros!$C$4)/1000)</f>
        <v>36</v>
      </c>
      <c r="H11" s="6">
        <f>=((H$10/Parametros!$C$4)/1000)</f>
        <v>36</v>
      </c>
      <c r="I11" s="6">
        <f>=((I$10/Parametros!$C$4)/1000)</f>
        <v>36</v>
      </c>
      <c r="J11" s="6">
        <f>=((J$10/Parametros!$C$4)/1000)</f>
        <v>36</v>
      </c>
      <c r="K11" s="6">
        <f>=((K$10/Parametros!$C$4)/1000)</f>
        <v>36</v>
      </c>
      <c r="L11" s="6">
        <f>=((L$10/Parametros!$C$4)/1000)</f>
        <v>36</v>
      </c>
      <c r="M11" s="6">
        <f>=((M$10/Parametros!$C$4)/1000)</f>
        <v>36</v>
      </c>
      <c r="N11" s="19" t="str">
        <f>=SUM(C11:M11)</f>
        <v>#ERROR</v>
      </c>
    </row>
    <row r="12">
      <c r="A12" s="2" t="str">
        <v>Canon (años de operación)</v>
      </c>
      <c r="B12" s="2" t="str">
        <v>kUSD</v>
      </c>
      <c r="C12" s="6">
        <f>=IF((C$3&gt;=1),(Parametros!$C$21*((1+Parametros!$C$9)^MAX(0,(C$3-1)))),0)</f>
        <v>0</v>
      </c>
      <c r="D12" s="6">
        <f>=IF((D$3&gt;=1),(Parametros!$C$21*((1+Parametros!$C$9)^MAX(0,(D$3-1)))),0)</f>
        <v>0</v>
      </c>
      <c r="E12" s="6">
        <f>=IF((E$3&gt;=1),(Parametros!$C$21*((1+Parametros!$C$9)^MAX(0,(E$3-1)))),0)</f>
        <v>0</v>
      </c>
      <c r="F12" s="6">
        <f>=IF((F$3&gt;=1),(Parametros!$C$21*((1+Parametros!$C$9)^MAX(0,(F$3-1)))),0)</f>
        <v>0</v>
      </c>
      <c r="G12" s="6">
        <f>=IF((G$3&gt;=1),(Parametros!$C$21*((1+Parametros!$C$9)^MAX(0,(G$3-1)))),0)</f>
        <v>0</v>
      </c>
      <c r="H12" s="6">
        <f>=IF((H$3&gt;=1),(Parametros!$C$21*((1+Parametros!$C$9)^MAX(0,(H$3-1)))),0)</f>
        <v>0</v>
      </c>
      <c r="I12" s="6">
        <f>=IF((I$3&gt;=1),(Parametros!$C$21*((1+Parametros!$C$9)^MAX(0,(I$3-1)))),0)</f>
        <v>0</v>
      </c>
      <c r="J12" s="6">
        <f>=IF((J$3&gt;=1),(Parametros!$C$21*((1+Parametros!$C$9)^MAX(0,(J$3-1)))),0)</f>
        <v>0</v>
      </c>
      <c r="K12" s="6">
        <f>=IF((K$3&gt;=1),(Parametros!$C$21*((1+Parametros!$C$9)^MAX(0,(K$3-1)))),0)</f>
        <v>0</v>
      </c>
      <c r="L12" s="6">
        <f>=IF((L$3&gt;=1),(Parametros!$C$21*((1+Parametros!$C$9)^MAX(0,(L$3-1)))),0)</f>
        <v>0</v>
      </c>
      <c r="M12" s="6">
        <f>=IF((M$3&gt;=1),(Parametros!$C$21*((1+Parametros!$C$9)^MAX(0,(M$3-1)))),0)</f>
        <v>0</v>
      </c>
      <c r="N12" s="19" t="str">
        <f>=SUM(C12:M12)</f>
        <v>#ERROR</v>
      </c>
    </row>
    <row r="13">
      <c r="A13" s="2" t="str">
        <v>Mantenimiento (años de operación)</v>
      </c>
      <c r="B13" s="2" t="str">
        <v>kUSD</v>
      </c>
      <c r="C13" s="6">
        <f>=IF((C$3&gt;=1),(Parametros!$C$14*Parametros!$C$2),0)</f>
        <v>0</v>
      </c>
      <c r="D13" s="6">
        <f>=IF((D$3&gt;=1),(Parametros!$C$14*Parametros!$C$2),0)</f>
        <v>0</v>
      </c>
      <c r="E13" s="6">
        <f>=IF((E$3&gt;=1),(Parametros!$C$14*Parametros!$C$2),0)</f>
        <v>0</v>
      </c>
      <c r="F13" s="6">
        <f>=IF((F$3&gt;=1),(Parametros!$C$14*Parametros!$C$2),0)</f>
        <v>0</v>
      </c>
      <c r="G13" s="6">
        <f>=IF((G$3&gt;=1),(Parametros!$C$14*Parametros!$C$2),0)</f>
        <v>0</v>
      </c>
      <c r="H13" s="6">
        <f>=IF((H$3&gt;=1),(Parametros!$C$14*Parametros!$C$2),0)</f>
        <v>0</v>
      </c>
      <c r="I13" s="6">
        <f>=IF((I$3&gt;=1),(Parametros!$C$14*Parametros!$C$2),0)</f>
        <v>0</v>
      </c>
      <c r="J13" s="6">
        <f>=IF((J$3&gt;=1),(Parametros!$C$14*Parametros!$C$2),0)</f>
        <v>0</v>
      </c>
      <c r="K13" s="6">
        <f>=IF((K$3&gt;=1),(Parametros!$C$14*Parametros!$C$2),0)</f>
        <v>0</v>
      </c>
      <c r="L13" s="6">
        <f>=IF((L$3&gt;=1),(Parametros!$C$14*Parametros!$C$2),0)</f>
        <v>0</v>
      </c>
      <c r="M13" s="6">
        <f>=IF((M$3&gt;=1),(Parametros!$C$14*Parametros!$C$2),0)</f>
        <v>0</v>
      </c>
      <c r="N13" s="19" t="str">
        <f>=SUM(C13:M13)</f>
        <v>#ERROR</v>
      </c>
    </row>
    <row r="14">
      <c r="A14" s="2" t="str">
        <v>Servicios públicos (años de operación)</v>
      </c>
      <c r="B14" s="2" t="str">
        <v>kUSD</v>
      </c>
      <c r="C14" s="6">
        <f>=IF((C$3&gt;=1),(Parametros!$C$20*((1+Parametros!$C$9)^MAX(0,(C$3-1)))),0)</f>
        <v>0</v>
      </c>
      <c r="D14" s="6">
        <f>=IF((D$3&gt;=1),(Parametros!$C$20*((1+Parametros!$C$9)^MAX(0,(D$3-1)))),0)</f>
        <v>0</v>
      </c>
      <c r="E14" s="6">
        <f>=IF((E$3&gt;=1),(Parametros!$C$20*((1+Parametros!$C$9)^MAX(0,(E$3-1)))),0)</f>
        <v>0</v>
      </c>
      <c r="F14" s="6">
        <f>=IF((F$3&gt;=1),(Parametros!$C$20*((1+Parametros!$C$9)^MAX(0,(F$3-1)))),0)</f>
        <v>0</v>
      </c>
      <c r="G14" s="6">
        <f>=IF((G$3&gt;=1),(Parametros!$C$20*((1+Parametros!$C$9)^MAX(0,(G$3-1)))),0)</f>
        <v>0</v>
      </c>
      <c r="H14" s="6">
        <f>=IF((H$3&gt;=1),(Parametros!$C$20*((1+Parametros!$C$9)^MAX(0,(H$3-1)))),0)</f>
        <v>0</v>
      </c>
      <c r="I14" s="6">
        <f>=IF((I$3&gt;=1),(Parametros!$C$20*((1+Parametros!$C$9)^MAX(0,(I$3-1)))),0)</f>
        <v>0</v>
      </c>
      <c r="J14" s="6">
        <f>=IF((J$3&gt;=1),(Parametros!$C$20*((1+Parametros!$C$9)^MAX(0,(J$3-1)))),0)</f>
        <v>0</v>
      </c>
      <c r="K14" s="6">
        <f>=IF((K$3&gt;=1),(Parametros!$C$20*((1+Parametros!$C$9)^MAX(0,(K$3-1)))),0)</f>
        <v>0</v>
      </c>
      <c r="L14" s="6">
        <f>=IF((L$3&gt;=1),(Parametros!$C$20*((1+Parametros!$C$9)^MAX(0,(L$3-1)))),0)</f>
        <v>0</v>
      </c>
      <c r="M14" s="6">
        <f>=IF((M$3&gt;=1),(Parametros!$C$20*((1+Parametros!$C$9)^MAX(0,(M$3-1)))),0)</f>
        <v>0</v>
      </c>
      <c r="N14" s="19" t="str">
        <f>=SUM(C14:M14)</f>
        <v>#ERROR</v>
      </c>
    </row>
    <row r="15">
      <c r="A15" s="2" t="str">
        <v>Gastos administrativos</v>
      </c>
      <c r="B15" s="2" t="str">
        <v>kUSD</v>
      </c>
      <c r="C15" s="6">
        <f>=(Parametros!$C$13*C$7)</f>
        <v>0</v>
      </c>
      <c r="D15" s="6">
        <f>=(Parametros!$C$13*D$7)</f>
        <v>0</v>
      </c>
      <c r="E15" s="6">
        <f>=(Parametros!$C$13*E$7)</f>
        <v>0</v>
      </c>
      <c r="F15" s="6">
        <f>=(Parametros!$C$13*F$7)</f>
        <v>0</v>
      </c>
      <c r="G15" s="6">
        <f>=(Parametros!$C$13*G$7)</f>
        <v>0</v>
      </c>
      <c r="H15" s="6">
        <f>=(Parametros!$C$13*H$7)</f>
        <v>0</v>
      </c>
      <c r="I15" s="6">
        <f>=(Parametros!$C$13*I$7)</f>
        <v>0</v>
      </c>
      <c r="J15" s="6">
        <f>=(Parametros!$C$13*J$7)</f>
        <v>0</v>
      </c>
      <c r="K15" s="6">
        <f>=(Parametros!$C$13*K$7)</f>
        <v>0</v>
      </c>
      <c r="L15" s="6">
        <f>=(Parametros!$C$13*L$7)</f>
        <v>0</v>
      </c>
      <c r="M15" s="6">
        <f>=(Parametros!$C$13*M$7)</f>
        <v>0</v>
      </c>
      <c r="N15" s="19" t="str">
        <f>=SUM(C15:M15)</f>
        <v>#ERROR</v>
      </c>
    </row>
    <row r="16">
      <c r="A16" s="2" t="str">
        <v>Otros gastos fijos (años de operación)</v>
      </c>
      <c r="B16" s="2" t="str">
        <v>kUSD</v>
      </c>
      <c r="C16" s="6">
        <f>=IF((C$3&gt;=1),(Parametros!$C$22*((1+Parametros!$C$9)^MAX(0,(C$3-1)))),0)</f>
        <v>0</v>
      </c>
      <c r="D16" s="6">
        <f>=IF((D$3&gt;=1),(Parametros!$C$22*((1+Parametros!$C$9)^MAX(0,(D$3-1)))),0)</f>
        <v>0</v>
      </c>
      <c r="E16" s="6">
        <f>=IF((E$3&gt;=1),(Parametros!$C$22*((1+Parametros!$C$9)^MAX(0,(E$3-1)))),0)</f>
        <v>0</v>
      </c>
      <c r="F16" s="6">
        <f>=IF((F$3&gt;=1),(Parametros!$C$22*((1+Parametros!$C$9)^MAX(0,(F$3-1)))),0)</f>
        <v>0</v>
      </c>
      <c r="G16" s="6">
        <f>=IF((G$3&gt;=1),(Parametros!$C$22*((1+Parametros!$C$9)^MAX(0,(G$3-1)))),0)</f>
        <v>0</v>
      </c>
      <c r="H16" s="6">
        <f>=IF((H$3&gt;=1),(Parametros!$C$22*((1+Parametros!$C$9)^MAX(0,(H$3-1)))),0)</f>
        <v>0</v>
      </c>
      <c r="I16" s="6">
        <f>=IF((I$3&gt;=1),(Parametros!$C$22*((1+Parametros!$C$9)^MAX(0,(I$3-1)))),0)</f>
        <v>0</v>
      </c>
      <c r="J16" s="6">
        <f>=IF((J$3&gt;=1),(Parametros!$C$22*((1+Parametros!$C$9)^MAX(0,(J$3-1)))),0)</f>
        <v>0</v>
      </c>
      <c r="K16" s="6">
        <f>=IF((K$3&gt;=1),(Parametros!$C$22*((1+Parametros!$C$9)^MAX(0,(K$3-1)))),0)</f>
        <v>0</v>
      </c>
      <c r="L16" s="6">
        <f>=IF((L$3&gt;=1),(Parametros!$C$22*((1+Parametros!$C$9)^MAX(0,(L$3-1)))),0)</f>
        <v>0</v>
      </c>
      <c r="M16" s="6">
        <f>=IF((M$3&gt;=1),(Parametros!$C$22*((1+Parametros!$C$9)^MAX(0,(M$3-1)))),0)</f>
        <v>0</v>
      </c>
      <c r="N16" s="19" t="str">
        <f>=SUM(C16:M16)</f>
        <v>#ERROR</v>
      </c>
    </row>
    <row r="17">
      <c r="A17" s="2" t="str">
        <v>Depreciación (calendario por activo)</v>
      </c>
      <c r="B17" s="2" t="str">
        <v>kUSD</v>
      </c>
      <c r="C17" s="6">
        <f>=Depreciacion!I$9</f>
        <v>0</v>
      </c>
      <c r="D17" s="6">
        <f>=Depreciacion!J$9</f>
        <v>0.310235294117647</v>
      </c>
      <c r="E17" s="6">
        <f>=Depreciacion!K$9</f>
        <v>0.310235294117647</v>
      </c>
      <c r="F17" s="6">
        <f>=Depreciacion!L$9</f>
        <v>0.310235294117647</v>
      </c>
      <c r="G17" s="6">
        <f>=Depreciacion!M$9</f>
        <v>0.310235294117647</v>
      </c>
      <c r="H17" s="6">
        <f>=Depreciacion!N$9</f>
        <v>0.310235294117647</v>
      </c>
      <c r="I17" s="6">
        <f>=Depreciacion!O$9</f>
        <v>0.310235294117647</v>
      </c>
      <c r="J17" s="6">
        <f>=Depreciacion!P$9</f>
        <v>0.310235294117647</v>
      </c>
      <c r="K17" s="6">
        <f>=Depreciacion!Q$9</f>
        <v>0.310235294117647</v>
      </c>
      <c r="L17" s="6">
        <f>=Depreciacion!R$9</f>
        <v>0.310235294117647</v>
      </c>
      <c r="M17" s="6">
        <f>=Depreciacion!S$9</f>
        <v>0.310235294117647</v>
      </c>
      <c r="N17" s="19" t="str">
        <f>=SUM(C17:M17)</f>
        <v>#ERROR</v>
      </c>
    </row>
    <row r="18">
      <c r="A18" s="2" t="str">
        <v>Intereses del crédito (devengados)</v>
      </c>
      <c r="B18" s="2" t="str">
        <v>kUSD</v>
      </c>
      <c r="C18" s="6">
        <f>=Deuda!$D$4</f>
        <v>0</v>
      </c>
      <c r="D18" s="6">
        <f>=Deuda!$D$5</f>
        <v>0</v>
      </c>
      <c r="E18" s="6">
        <f>=Deuda!$D$6</f>
        <v>0</v>
      </c>
      <c r="F18" s="6">
        <f>=Deuda!$D$7</f>
        <v>0</v>
      </c>
      <c r="G18" s="6">
        <f>=Deuda!$D$8</f>
        <v>0</v>
      </c>
      <c r="H18" s="6">
        <f>=Deuda!$D$9</f>
        <v>0</v>
      </c>
      <c r="I18" s="6">
        <f>=Deuda!$D$10</f>
        <v>0</v>
      </c>
      <c r="J18" s="6">
        <f>=Deuda!$D$11</f>
        <v>0</v>
      </c>
      <c r="K18" s="6">
        <f>=Deuda!$D$12</f>
        <v>0</v>
      </c>
      <c r="L18" s="6">
        <f>=Deuda!$D$13</f>
        <v>0</v>
      </c>
      <c r="M18" s="6">
        <f>=Deuda!$D$14</f>
        <v>0</v>
      </c>
      <c r="N18" s="19" t="str">
        <f>=SUM(C18:M18)</f>
        <v>#ERROR</v>
      </c>
    </row>
    <row r="19">
      <c r="A19" s="2" t="str">
        <v>Amortización del principal</v>
      </c>
      <c r="B19" s="2" t="str">
        <v>kUSD</v>
      </c>
      <c r="C19" s="6">
        <f>=Deuda!$F$4</f>
        <v>0</v>
      </c>
      <c r="D19" s="6">
        <f>=Deuda!$F$5</f>
        <v>0</v>
      </c>
      <c r="E19" s="6">
        <f>=Deuda!$F$6</f>
        <v>0</v>
      </c>
      <c r="F19" s="6">
        <f>=Deuda!$F$7</f>
        <v>0</v>
      </c>
      <c r="G19" s="6">
        <f>=Deuda!$F$8</f>
        <v>0</v>
      </c>
      <c r="H19" s="6">
        <f>=Deuda!$F$9</f>
        <v>0</v>
      </c>
      <c r="I19" s="6">
        <f>=Deuda!$F$10</f>
        <v>0</v>
      </c>
      <c r="J19" s="6">
        <f>=Deuda!$F$11</f>
        <v>0</v>
      </c>
      <c r="K19" s="6">
        <f>=Deuda!$F$12</f>
        <v>0</v>
      </c>
      <c r="L19" s="6">
        <f>=Deuda!$F$13</f>
        <v>0</v>
      </c>
      <c r="M19" s="6">
        <f>=Deuda!$F$14</f>
        <v>0</v>
      </c>
      <c r="N19" s="19" t="str">
        <f>=SUM(C19:M19)</f>
        <v>#ERROR</v>
      </c>
    </row>
    <row r="20">
      <c r="A20" s="2" t="str">
        <v>Saldo de la deuda (fin de año)</v>
      </c>
      <c r="B20" s="2" t="str">
        <v>kUSD</v>
      </c>
      <c r="C20" s="6">
        <f>=Deuda!$H$4</f>
        <v>0</v>
      </c>
      <c r="D20" s="6">
        <f>=Deuda!$H$5</f>
        <v>0</v>
      </c>
      <c r="E20" s="6">
        <f>=Deuda!$H$6</f>
        <v>0</v>
      </c>
      <c r="F20" s="6">
        <f>=Deuda!$H$7</f>
        <v>0</v>
      </c>
      <c r="G20" s="6">
        <f>=Deuda!$H$8</f>
        <v>0</v>
      </c>
      <c r="H20" s="6">
        <f>=Deuda!$H$9</f>
        <v>0</v>
      </c>
      <c r="I20" s="6">
        <f>=Deuda!$H$10</f>
        <v>0</v>
      </c>
      <c r="J20" s="6">
        <f>=Deuda!$H$11</f>
        <v>0</v>
      </c>
      <c r="K20" s="6">
        <f>=Deuda!$H$12</f>
        <v>0</v>
      </c>
      <c r="L20" s="6">
        <f>=Deuda!$H$13</f>
        <v>0</v>
      </c>
      <c r="M20" s="6">
        <f>=Deuda!$H$14</f>
        <v>0</v>
      </c>
    </row>
    <row r="21">
      <c r="A21" s="20" t="str">
        <v>COSTOS Y GASTOS TOTALES</v>
      </c>
      <c r="B21" s="2" t="str">
        <v>kUSD</v>
      </c>
      <c r="C21" s="19">
        <f>=((((((((C$9+C$11)+C$12)+C$13)+C$14)+C$15)+C$16)+C$17)+C$18)</f>
        <v>0</v>
      </c>
      <c r="D21" s="19">
        <f>=((((((((D$9+D$11)+D$12)+D$13)+D$14)+D$15)+D$16)+D$17)+D$18)</f>
        <v>163.47351529411765</v>
      </c>
      <c r="E21" s="19">
        <f>=((((((((E$9+E$11)+E$12)+E$13)+E$14)+E$15)+E$16)+E$17)+E$18)</f>
        <v>163.47351529411765</v>
      </c>
      <c r="F21" s="19">
        <f>=((((((((F$9+F$11)+F$12)+F$13)+F$14)+F$15)+F$16)+F$17)+F$18)</f>
        <v>163.47351529411765</v>
      </c>
      <c r="G21" s="19">
        <f>=((((((((G$9+G$11)+G$12)+G$13)+G$14)+G$15)+G$16)+G$17)+G$18)</f>
        <v>163.47351529411765</v>
      </c>
      <c r="H21" s="19">
        <f>=((((((((H$9+H$11)+H$12)+H$13)+H$14)+H$15)+H$16)+H$17)+H$18)</f>
        <v>163.47351529411765</v>
      </c>
      <c r="I21" s="19">
        <f>=((((((((I$9+I$11)+I$12)+I$13)+I$14)+I$15)+I$16)+I$17)+I$18)</f>
        <v>163.47351529411765</v>
      </c>
      <c r="J21" s="19">
        <f>=((((((((J$9+J$11)+J$12)+J$13)+J$14)+J$15)+J$16)+J$17)+J$18)</f>
        <v>163.47351529411765</v>
      </c>
      <c r="K21" s="19">
        <f>=((((((((K$9+K$11)+K$12)+K$13)+K$14)+K$15)+K$16)+K$17)+K$18)</f>
        <v>163.47351529411765</v>
      </c>
      <c r="L21" s="19">
        <f>=((((((((L$9+L$11)+L$12)+L$13)+L$14)+L$15)+L$16)+L$17)+L$18)</f>
        <v>163.47351529411765</v>
      </c>
      <c r="M21" s="19">
        <f>=((((((((M$9+M$11)+M$12)+M$13)+M$14)+M$15)+M$16)+M$17)+M$18)</f>
        <v>163.47351529411765</v>
      </c>
      <c r="N21" s="19" t="str">
        <f>=SUM(C21:M21)</f>
        <v>#ERROR</v>
      </c>
    </row>
    <row r="22">
      <c r="A22" s="20" t="str">
        <v>UTILIDAD ANTES DE IMPUESTOS</v>
      </c>
      <c r="B22" s="2" t="str">
        <v>kUSD</v>
      </c>
      <c r="C22" s="19">
        <f>=(C$7-C$21)</f>
        <v>0</v>
      </c>
      <c r="D22" s="19">
        <f>=(D$7-D$21)</f>
        <v>-47.659515294117654</v>
      </c>
      <c r="E22" s="19">
        <f>=(E$7-E$21)</f>
        <v>-47.659515294117654</v>
      </c>
      <c r="F22" s="19">
        <f>=(F$7-F$21)</f>
        <v>-47.659515294117654</v>
      </c>
      <c r="G22" s="19">
        <f>=(G$7-G$21)</f>
        <v>-47.659515294117654</v>
      </c>
      <c r="H22" s="19">
        <f>=(H$7-H$21)</f>
        <v>-47.659515294117654</v>
      </c>
      <c r="I22" s="19">
        <f>=(I$7-I$21)</f>
        <v>-47.659515294117654</v>
      </c>
      <c r="J22" s="19">
        <f>=(J$7-J$21)</f>
        <v>-47.659515294117654</v>
      </c>
      <c r="K22" s="19">
        <f>=(K$7-K$21)</f>
        <v>-47.659515294117654</v>
      </c>
      <c r="L22" s="19">
        <f>=(L$7-L$21)</f>
        <v>-47.659515294117654</v>
      </c>
      <c r="M22" s="19">
        <f>=(M$7-M$21)</f>
        <v>-47.659515294117654</v>
      </c>
      <c r="N22" s="19" t="str">
        <f>=SUM(C22:M22)</f>
        <v>#ERROR</v>
      </c>
    </row>
    <row r="23">
      <c r="A23" s="2" t="str">
        <v>Impuesto sobre utilidades (regla demostrativa)</v>
      </c>
      <c r="B23" s="2" t="str">
        <v>kUSD</v>
      </c>
      <c r="C23" s="6">
        <f>=IF((C$3&gt;=8),MAX(0,(C$22*Parametros!$C$3)),0)</f>
        <v>0</v>
      </c>
      <c r="D23" s="6">
        <f>=IF((D$3&gt;=8),MAX(0,(D$22*Parametros!$C$3)),0)</f>
        <v>0</v>
      </c>
      <c r="E23" s="6">
        <f>=IF((E$3&gt;=8),MAX(0,(E$22*Parametros!$C$3)),0)</f>
        <v>0</v>
      </c>
      <c r="F23" s="6">
        <f>=IF((F$3&gt;=8),MAX(0,(F$22*Parametros!$C$3)),0)</f>
        <v>0</v>
      </c>
      <c r="G23" s="6">
        <f>=IF((G$3&gt;=8),MAX(0,(G$22*Parametros!$C$3)),0)</f>
        <v>0</v>
      </c>
      <c r="H23" s="6">
        <f>=IF((H$3&gt;=8),MAX(0,(H$22*Parametros!$C$3)),0)</f>
        <v>0</v>
      </c>
      <c r="I23" s="6">
        <f>=IF((I$3&gt;=8),MAX(0,(I$22*Parametros!$C$3)),0)</f>
        <v>0</v>
      </c>
      <c r="J23" s="6">
        <f>=IF((J$3&gt;=8),MAX(0,(J$22*Parametros!$C$3)),0)</f>
        <v>0</v>
      </c>
      <c r="K23" s="6">
        <f>=IF((K$3&gt;=8),MAX(0,(K$22*Parametros!$C$3)),0)</f>
        <v>0</v>
      </c>
      <c r="L23" s="6">
        <f>=IF((L$3&gt;=8),MAX(0,(L$22*Parametros!$C$3)),0)</f>
        <v>0</v>
      </c>
      <c r="M23" s="6">
        <f>=IF((M$3&gt;=8),MAX(0,(M$22*Parametros!$C$3)),0)</f>
        <v>0</v>
      </c>
      <c r="N23" s="19" t="str">
        <f>=SUM(C23:M23)</f>
        <v>#ERROR</v>
      </c>
    </row>
    <row r="24">
      <c r="A24" s="20" t="str">
        <v>UTILIDAD DESPUÉS DE IMPUESTOS (3-4)</v>
      </c>
      <c r="B24" s="2" t="str">
        <v>kUSD</v>
      </c>
      <c r="C24" s="19">
        <f>=(C$22-C$23)</f>
        <v>0</v>
      </c>
      <c r="D24" s="19">
        <f>=(D$22-D$23)</f>
        <v>-47.659515294117654</v>
      </c>
      <c r="E24" s="19">
        <f>=(E$22-E$23)</f>
        <v>-47.659515294117654</v>
      </c>
      <c r="F24" s="19">
        <f>=(F$22-F$23)</f>
        <v>-47.659515294117654</v>
      </c>
      <c r="G24" s="19">
        <f>=(G$22-G$23)</f>
        <v>-47.659515294117654</v>
      </c>
      <c r="H24" s="19">
        <f>=(H$22-H$23)</f>
        <v>-47.659515294117654</v>
      </c>
      <c r="I24" s="19">
        <f>=(I$22-I$23)</f>
        <v>-47.659515294117654</v>
      </c>
      <c r="J24" s="19">
        <f>=(J$22-J$23)</f>
        <v>-47.659515294117654</v>
      </c>
      <c r="K24" s="19">
        <f>=(K$22-K$23)</f>
        <v>-47.659515294117654</v>
      </c>
      <c r="L24" s="19">
        <f>=(L$22-L$23)</f>
        <v>-47.659515294117654</v>
      </c>
      <c r="M24" s="19">
        <f>=(M$22-M$23)</f>
        <v>-47.659515294117654</v>
      </c>
      <c r="N24" s="19" t="str">
        <f>=SUM(C24:M24)</f>
        <v>#ERROR</v>
      </c>
    </row>
    <row r="25">
      <c r="A25" s="20" t="str">
        <v>FLUJO DE CAJA DEL PROYECTO (FCFF)</v>
      </c>
      <c r="B25" s="2" t="str">
        <v>kUSD</v>
      </c>
      <c r="C25" s="19">
        <f>=FlujosCaja!B$4</f>
        <v>-5.492333333333334</v>
      </c>
      <c r="D25" s="19">
        <f>=FlujosCaja!C$4</f>
        <v>-47.34928000000001</v>
      </c>
      <c r="E25" s="19">
        <f>=FlujosCaja!D$4</f>
        <v>-47.34928000000001</v>
      </c>
      <c r="F25" s="19">
        <f>=FlujosCaja!E$4</f>
        <v>-47.34928000000001</v>
      </c>
      <c r="G25" s="19">
        <f>=FlujosCaja!F$4</f>
        <v>-47.34928000000001</v>
      </c>
      <c r="H25" s="19">
        <f>=FlujosCaja!G$4</f>
        <v>-47.34928000000001</v>
      </c>
      <c r="I25" s="19">
        <f>=FlujosCaja!H$4</f>
        <v>-47.34928000000001</v>
      </c>
      <c r="J25" s="19">
        <f>=FlujosCaja!I$4</f>
        <v>-47.34928000000001</v>
      </c>
      <c r="K25" s="19">
        <f>=FlujosCaja!J$4</f>
        <v>-47.34928000000001</v>
      </c>
      <c r="L25" s="19">
        <f>=FlujosCaja!K$4</f>
        <v>-47.34928000000001</v>
      </c>
      <c r="M25" s="19">
        <f>=FlujosCaja!L$4</f>
        <v>-47.34928000000001</v>
      </c>
      <c r="N25" s="19" t="str">
        <f>=SUM(C25:M25)</f>
        <v>#ERROR</v>
      </c>
    </row>
    <row r="26">
      <c r="A26" s="20" t="str">
        <v>FLUJO ACUMULADO DEL PROYECTO</v>
      </c>
      <c r="B26" s="2" t="str">
        <v>kUSD</v>
      </c>
      <c r="C26" s="19">
        <f>=IF((C$3=0),C$25,(B$26+C$25))</f>
        <v>-5.492333333333334</v>
      </c>
      <c r="D26" s="19">
        <f>=IF((D$3=0),D$25,(C$26+D$25))</f>
        <v>-52.84161333333334</v>
      </c>
      <c r="E26" s="19">
        <f>=IF((E$3=0),E$25,(D$26+E$25))</f>
        <v>-100.19089333333335</v>
      </c>
      <c r="F26" s="19">
        <f>=IF((F$3=0),F$25,(E$26+F$25))</f>
        <v>-147.54017333333337</v>
      </c>
      <c r="G26" s="19">
        <f>=IF((G$3=0),G$25,(F$26+G$25))</f>
        <v>-194.8894533333334</v>
      </c>
      <c r="H26" s="19">
        <f>=IF((H$3=0),H$25,(G$26+H$25))</f>
        <v>-242.2387333333334</v>
      </c>
      <c r="I26" s="19">
        <f>=IF((I$3=0),I$25,(H$26+I$25))</f>
        <v>-289.58801333333344</v>
      </c>
      <c r="J26" s="19">
        <f>=IF((J$3=0),J$25,(I$26+J$25))</f>
        <v>-336.93729333333346</v>
      </c>
      <c r="K26" s="19">
        <f>=IF((K$3=0),K$25,(J$26+K$25))</f>
        <v>-384.2865733333335</v>
      </c>
      <c r="L26" s="19">
        <f>=IF((L$3=0),L$25,(K$26+L$25))</f>
        <v>-431.6358533333335</v>
      </c>
      <c r="M26" s="19">
        <f>=IF((M$3=0),M$25,(L$26+M$25))</f>
        <v>-478.9851333333335</v>
      </c>
    </row>
    <row r="27">
      <c r="A27" s="2" t="str">
        <v>Saldo pendiente (inversión total)</v>
      </c>
      <c r="B27" s="2" t="str">
        <v>kUSD</v>
      </c>
      <c r="C27" s="6">
        <f>=MAX(0,(-C$26))</f>
        <v>5.492333333333334</v>
      </c>
      <c r="D27" s="6">
        <f>=MAX(0,(-D$26))</f>
        <v>52.84161333333334</v>
      </c>
      <c r="E27" s="6">
        <f>=MAX(0,(-E$26))</f>
        <v>100.19089333333335</v>
      </c>
      <c r="F27" s="6">
        <f>=MAX(0,(-F$26))</f>
        <v>147.54017333333337</v>
      </c>
      <c r="G27" s="6">
        <f>=MAX(0,(-G$26))</f>
        <v>194.8894533333334</v>
      </c>
      <c r="H27" s="6">
        <f>=MAX(0,(-H$26))</f>
        <v>242.2387333333334</v>
      </c>
      <c r="I27" s="6">
        <f>=MAX(0,(-I$26))</f>
        <v>289.58801333333344</v>
      </c>
      <c r="J27" s="6">
        <f>=MAX(0,(-J$26))</f>
        <v>336.93729333333346</v>
      </c>
      <c r="K27" s="6">
        <f>=MAX(0,(-K$26))</f>
        <v>384.2865733333335</v>
      </c>
      <c r="L27" s="6">
        <f>=MAX(0,(-L$26))</f>
        <v>431.6358533333335</v>
      </c>
      <c r="M27" s="6">
        <f>=MAX(0,(-M$26))</f>
        <v>478.9851333333335</v>
      </c>
      <c r="N27" s="19" t="str">
        <f>=SUM(C27:M27)</f>
        <v>#ERROR</v>
      </c>
    </row>
    <row r="28">
      <c r="A28" s="20" t="str">
        <v>FLUJO DE CAJA DE LOS SOCIOS (FCFE)</v>
      </c>
      <c r="B28" s="2" t="str">
        <v>kUSD</v>
      </c>
      <c r="C28" s="19">
        <f>=FlujosCaja!B$6</f>
        <v>-5.492333333333334</v>
      </c>
      <c r="D28" s="19">
        <f>=FlujosCaja!C$6</f>
        <v>-47.34928000000001</v>
      </c>
      <c r="E28" s="19">
        <f>=FlujosCaja!D$6</f>
        <v>-47.34928000000001</v>
      </c>
      <c r="F28" s="19">
        <f>=FlujosCaja!E$6</f>
        <v>-47.34928000000001</v>
      </c>
      <c r="G28" s="19">
        <f>=FlujosCaja!F$6</f>
        <v>-47.34928000000001</v>
      </c>
      <c r="H28" s="19">
        <f>=FlujosCaja!G$6</f>
        <v>-47.34928000000001</v>
      </c>
      <c r="I28" s="19">
        <f>=FlujosCaja!H$6</f>
        <v>-47.34928000000001</v>
      </c>
      <c r="J28" s="19">
        <f>=FlujosCaja!I$6</f>
        <v>-47.34928000000001</v>
      </c>
      <c r="K28" s="19">
        <f>=FlujosCaja!J$6</f>
        <v>-47.34928000000001</v>
      </c>
      <c r="L28" s="19">
        <f>=FlujosCaja!K$6</f>
        <v>-47.34928000000001</v>
      </c>
      <c r="M28" s="19">
        <f>=FlujosCaja!L$6</f>
        <v>-47.34928000000001</v>
      </c>
      <c r="N28" s="19" t="str">
        <f>=SUM(C28:M28)</f>
        <v>#ERROR</v>
      </c>
    </row>
    <row r="29">
      <c r="A29" s="20" t="str">
        <v>FLUJO ACUMULADO DE LOS SOCIOS</v>
      </c>
      <c r="B29" s="2" t="str">
        <v>kUSD</v>
      </c>
      <c r="C29" s="19">
        <f>=IF((C$3=0),C$28,(B$29+C$28))</f>
        <v>-5.492333333333334</v>
      </c>
      <c r="D29" s="19">
        <f>=IF((D$3=0),D$28,(C$29+D$28))</f>
        <v>-52.84161333333334</v>
      </c>
      <c r="E29" s="19">
        <f>=IF((E$3=0),E$28,(D$29+E$28))</f>
        <v>-100.19089333333335</v>
      </c>
      <c r="F29" s="19">
        <f>=IF((F$3=0),F$28,(E$29+F$28))</f>
        <v>-147.54017333333337</v>
      </c>
      <c r="G29" s="19">
        <f>=IF((G$3=0),G$28,(F$29+G$28))</f>
        <v>-194.8894533333334</v>
      </c>
      <c r="H29" s="19">
        <f>=IF((H$3=0),H$28,(G$29+H$28))</f>
        <v>-242.2387333333334</v>
      </c>
      <c r="I29" s="19">
        <f>=IF((I$3=0),I$28,(H$29+I$28))</f>
        <v>-289.58801333333344</v>
      </c>
      <c r="J29" s="19">
        <f>=IF((J$3=0),J$28,(I$29+J$28))</f>
        <v>-336.93729333333346</v>
      </c>
      <c r="K29" s="19">
        <f>=IF((K$3=0),K$28,(J$29+K$28))</f>
        <v>-384.2865733333335</v>
      </c>
      <c r="L29" s="19">
        <f>=IF((L$3=0),L$28,(K$29+L$28))</f>
        <v>-431.6358533333335</v>
      </c>
      <c r="M29" s="19">
        <f>=IF((M$3=0),M$28,(L$29+M$28))</f>
        <v>-478.9851333333335</v>
      </c>
    </row>
    <row r="30">
      <c r="A30" s="2" t="str">
        <v>Saldo pendiente (capital aportado)</v>
      </c>
      <c r="B30" s="2" t="str">
        <v>kUSD</v>
      </c>
      <c r="C30" s="6">
        <f>=MAX(0,(-C$29))</f>
        <v>5.492333333333334</v>
      </c>
      <c r="D30" s="6">
        <f>=MAX(0,(-D$29))</f>
        <v>52.84161333333334</v>
      </c>
      <c r="E30" s="6">
        <f>=MAX(0,(-E$29))</f>
        <v>100.19089333333335</v>
      </c>
      <c r="F30" s="6">
        <f>=MAX(0,(-F$29))</f>
        <v>147.54017333333337</v>
      </c>
      <c r="G30" s="6">
        <f>=MAX(0,(-G$29))</f>
        <v>194.8894533333334</v>
      </c>
      <c r="H30" s="6">
        <f>=MAX(0,(-H$29))</f>
        <v>242.2387333333334</v>
      </c>
      <c r="I30" s="6">
        <f>=MAX(0,(-I$29))</f>
        <v>289.58801333333344</v>
      </c>
      <c r="J30" s="6">
        <f>=MAX(0,(-J$29))</f>
        <v>336.93729333333346</v>
      </c>
      <c r="K30" s="6">
        <f>=MAX(0,(-K$29))</f>
        <v>384.2865733333335</v>
      </c>
      <c r="L30" s="6">
        <f>=MAX(0,(-L$29))</f>
        <v>431.6358533333335</v>
      </c>
      <c r="M30" s="6">
        <f>=MAX(0,(-M$29))</f>
        <v>478.9851333333335</v>
      </c>
      <c r="N30" s="19" t="str">
        <f>=SUM(C30:M30)</f>
        <v>#ERROR</v>
      </c>
    </row>
    <row r="31">
      <c r="A31" s="2" t="str">
        <v>Dividendos pagables</v>
      </c>
      <c r="B31" s="2" t="str">
        <v>kUSD</v>
      </c>
      <c r="C31" s="6">
        <f>=Dividendos!B$11</f>
        <v>0</v>
      </c>
      <c r="D31" s="6">
        <f>=Dividendos!C$11</f>
        <v>0</v>
      </c>
      <c r="E31" s="6">
        <f>=Dividendos!D$11</f>
        <v>0</v>
      </c>
      <c r="F31" s="6">
        <f>=Dividendos!E$11</f>
        <v>0</v>
      </c>
      <c r="G31" s="6">
        <f>=Dividendos!F$11</f>
        <v>0</v>
      </c>
      <c r="H31" s="6">
        <f>=Dividendos!G$11</f>
        <v>0</v>
      </c>
      <c r="I31" s="6">
        <f>=Dividendos!H$11</f>
        <v>0</v>
      </c>
      <c r="J31" s="6">
        <f>=Dividendos!I$11</f>
        <v>0</v>
      </c>
      <c r="K31" s="6">
        <f>=Dividendos!J$11</f>
        <v>0</v>
      </c>
      <c r="L31" s="6">
        <f>=Dividendos!K$11</f>
        <v>0</v>
      </c>
      <c r="M31" s="6">
        <f>=Dividendos!L$11</f>
        <v>0</v>
      </c>
      <c r="N31" s="19" t="str">
        <f>=SUM(C31:M31)</f>
        <v>#ERROR</v>
      </c>
    </row>
    <row r="32">
      <c r="A32" s="2" t="str">
        <v>Dividendos de la parte cubana</v>
      </c>
      <c r="B32" s="2" t="str">
        <v>kUSD</v>
      </c>
      <c r="C32" s="6">
        <f>=Dividendos!B$12</f>
        <v>0</v>
      </c>
      <c r="D32" s="6">
        <f>=Dividendos!C$12</f>
        <v>0</v>
      </c>
      <c r="E32" s="6">
        <f>=Dividendos!D$12</f>
        <v>0</v>
      </c>
      <c r="F32" s="6">
        <f>=Dividendos!E$12</f>
        <v>0</v>
      </c>
      <c r="G32" s="6">
        <f>=Dividendos!F$12</f>
        <v>0</v>
      </c>
      <c r="H32" s="6">
        <f>=Dividendos!G$12</f>
        <v>0</v>
      </c>
      <c r="I32" s="6">
        <f>=Dividendos!H$12</f>
        <v>0</v>
      </c>
      <c r="J32" s="6">
        <f>=Dividendos!I$12</f>
        <v>0</v>
      </c>
      <c r="K32" s="6">
        <f>=Dividendos!J$12</f>
        <v>0</v>
      </c>
      <c r="L32" s="6">
        <f>=Dividendos!K$12</f>
        <v>0</v>
      </c>
      <c r="M32" s="6">
        <f>=Dividendos!L$12</f>
        <v>0</v>
      </c>
      <c r="N32" s="19" t="str">
        <f>=SUM(C32:M32)</f>
        <v>#ERROR</v>
      </c>
    </row>
    <row r="33">
      <c r="A33" s="2" t="str">
        <v>Pagos por la fuerza de trabajo</v>
      </c>
      <c r="B33" s="2" t="str">
        <v>kUSD</v>
      </c>
      <c r="C33" s="6">
        <f>=C$11</f>
        <v>0</v>
      </c>
      <c r="D33" s="6">
        <f>=D$11</f>
        <v>36</v>
      </c>
      <c r="E33" s="6">
        <f>=E$11</f>
        <v>36</v>
      </c>
      <c r="F33" s="6">
        <f>=F$11</f>
        <v>36</v>
      </c>
      <c r="G33" s="6">
        <f>=G$11</f>
        <v>36</v>
      </c>
      <c r="H33" s="6">
        <f>=H$11</f>
        <v>36</v>
      </c>
      <c r="I33" s="6">
        <f>=I$11</f>
        <v>36</v>
      </c>
      <c r="J33" s="6">
        <f>=J$11</f>
        <v>36</v>
      </c>
      <c r="K33" s="6">
        <f>=K$11</f>
        <v>36</v>
      </c>
      <c r="L33" s="6">
        <f>=L$11</f>
        <v>36</v>
      </c>
      <c r="M33" s="6">
        <f>=M$11</f>
        <v>36</v>
      </c>
      <c r="N33" s="19" t="str">
        <f>=SUM(C33:M33)</f>
        <v>#ERROR</v>
      </c>
    </row>
    <row r="34">
      <c r="A34" s="2" t="str">
        <v>Otros impuestos (años de operación)</v>
      </c>
      <c r="B34" s="2" t="str">
        <v>kUSD</v>
      </c>
      <c r="C34" s="6">
        <f>=IF((C$3&gt;=1),(Parametros!$C$27*((1+Parametros!$C$9)^MAX(0,(C$3-1)))),0)</f>
        <v>0</v>
      </c>
      <c r="D34" s="6">
        <f>=IF((D$3&gt;=1),(Parametros!$C$27*((1+Parametros!$C$9)^MAX(0,(D$3-1)))),0)</f>
        <v>5.68</v>
      </c>
      <c r="E34" s="6">
        <f>=IF((E$3&gt;=1),(Parametros!$C$27*((1+Parametros!$C$9)^MAX(0,(E$3-1)))),0)</f>
        <v>5.68</v>
      </c>
      <c r="F34" s="6">
        <f>=IF((F$3&gt;=1),(Parametros!$C$27*((1+Parametros!$C$9)^MAX(0,(F$3-1)))),0)</f>
        <v>5.68</v>
      </c>
      <c r="G34" s="6">
        <f>=IF((G$3&gt;=1),(Parametros!$C$27*((1+Parametros!$C$9)^MAX(0,(G$3-1)))),0)</f>
        <v>5.68</v>
      </c>
      <c r="H34" s="6">
        <f>=IF((H$3&gt;=1),(Parametros!$C$27*((1+Parametros!$C$9)^MAX(0,(H$3-1)))),0)</f>
        <v>5.68</v>
      </c>
      <c r="I34" s="6">
        <f>=IF((I$3&gt;=1),(Parametros!$C$27*((1+Parametros!$C$9)^MAX(0,(I$3-1)))),0)</f>
        <v>5.68</v>
      </c>
      <c r="J34" s="6">
        <f>=IF((J$3&gt;=1),(Parametros!$C$27*((1+Parametros!$C$9)^MAX(0,(J$3-1)))),0)</f>
        <v>5.68</v>
      </c>
      <c r="K34" s="6">
        <f>=IF((K$3&gt;=1),(Parametros!$C$27*((1+Parametros!$C$9)^MAX(0,(K$3-1)))),0)</f>
        <v>5.68</v>
      </c>
      <c r="L34" s="6">
        <f>=IF((L$3&gt;=1),(Parametros!$C$27*((1+Parametros!$C$9)^MAX(0,(L$3-1)))),0)</f>
        <v>5.68</v>
      </c>
      <c r="M34" s="6">
        <f>=IF((M$3&gt;=1),(Parametros!$C$27*((1+Parametros!$C$9)^MAX(0,(M$3-1)))),0)</f>
        <v>5.68</v>
      </c>
      <c r="N34" s="19" t="str">
        <f>=SUM(C34:M34)</f>
        <v>#ERROR</v>
      </c>
    </row>
    <row r="35">
      <c r="A35" s="2" t="str">
        <v>Aranceles (años de operación)</v>
      </c>
      <c r="B35" s="2" t="str">
        <v>kUSD</v>
      </c>
      <c r="C35" s="6">
        <f>=IF((C$3&gt;=1),(Parametros!$C$26*((1+Parametros!$C$9)^MAX(0,(C$3-1)))),0)</f>
        <v>0</v>
      </c>
      <c r="D35" s="6">
        <f>=IF((D$3&gt;=1),(Parametros!$C$26*((1+Parametros!$C$9)^MAX(0,(D$3-1)))),0)</f>
        <v>0</v>
      </c>
      <c r="E35" s="6">
        <f>=IF((E$3&gt;=1),(Parametros!$C$26*((1+Parametros!$C$9)^MAX(0,(E$3-1)))),0)</f>
        <v>0</v>
      </c>
      <c r="F35" s="6">
        <f>=IF((F$3&gt;=1),(Parametros!$C$26*((1+Parametros!$C$9)^MAX(0,(F$3-1)))),0)</f>
        <v>0</v>
      </c>
      <c r="G35" s="6">
        <f>=IF((G$3&gt;=1),(Parametros!$C$26*((1+Parametros!$C$9)^MAX(0,(G$3-1)))),0)</f>
        <v>0</v>
      </c>
      <c r="H35" s="6">
        <f>=IF((H$3&gt;=1),(Parametros!$C$26*((1+Parametros!$C$9)^MAX(0,(H$3-1)))),0)</f>
        <v>0</v>
      </c>
      <c r="I35" s="6">
        <f>=IF((I$3&gt;=1),(Parametros!$C$26*((1+Parametros!$C$9)^MAX(0,(I$3-1)))),0)</f>
        <v>0</v>
      </c>
      <c r="J35" s="6">
        <f>=IF((J$3&gt;=1),(Parametros!$C$26*((1+Parametros!$C$9)^MAX(0,(J$3-1)))),0)</f>
        <v>0</v>
      </c>
      <c r="K35" s="6">
        <f>=IF((K$3&gt;=1),(Parametros!$C$26*((1+Parametros!$C$9)^MAX(0,(K$3-1)))),0)</f>
        <v>0</v>
      </c>
      <c r="L35" s="6">
        <f>=IF((L$3&gt;=1),(Parametros!$C$26*((1+Parametros!$C$9)^MAX(0,(L$3-1)))),0)</f>
        <v>0</v>
      </c>
      <c r="M35" s="6">
        <f>=IF((M$3&gt;=1),(Parametros!$C$26*((1+Parametros!$C$9)^MAX(0,(M$3-1)))),0)</f>
        <v>0</v>
      </c>
      <c r="N35" s="19" t="str">
        <f>=SUM(C35:M35)</f>
        <v>#ERROR</v>
      </c>
    </row>
    <row r="36">
      <c r="A36" s="2" t="str">
        <v>Royalties (años de operación)</v>
      </c>
      <c r="B36" s="2" t="str">
        <v>kUSD</v>
      </c>
      <c r="C36" s="6">
        <f>=IF((C$3&gt;=1),(Parametros!$C$28*((1+Parametros!$C$9)^MAX(0,(C$3-1)))),0)</f>
        <v>0</v>
      </c>
      <c r="D36" s="6">
        <f>=IF((D$3&gt;=1),(Parametros!$C$28*((1+Parametros!$C$9)^MAX(0,(D$3-1)))),0)</f>
        <v>0</v>
      </c>
      <c r="E36" s="6">
        <f>=IF((E$3&gt;=1),(Parametros!$C$28*((1+Parametros!$C$9)^MAX(0,(E$3-1)))),0)</f>
        <v>0</v>
      </c>
      <c r="F36" s="6">
        <f>=IF((F$3&gt;=1),(Parametros!$C$28*((1+Parametros!$C$9)^MAX(0,(F$3-1)))),0)</f>
        <v>0</v>
      </c>
      <c r="G36" s="6">
        <f>=IF((G$3&gt;=1),(Parametros!$C$28*((1+Parametros!$C$9)^MAX(0,(G$3-1)))),0)</f>
        <v>0</v>
      </c>
      <c r="H36" s="6">
        <f>=IF((H$3&gt;=1),(Parametros!$C$28*((1+Parametros!$C$9)^MAX(0,(H$3-1)))),0)</f>
        <v>0</v>
      </c>
      <c r="I36" s="6">
        <f>=IF((I$3&gt;=1),(Parametros!$C$28*((1+Parametros!$C$9)^MAX(0,(I$3-1)))),0)</f>
        <v>0</v>
      </c>
      <c r="J36" s="6">
        <f>=IF((J$3&gt;=1),(Parametros!$C$28*((1+Parametros!$C$9)^MAX(0,(J$3-1)))),0)</f>
        <v>0</v>
      </c>
      <c r="K36" s="6">
        <f>=IF((K$3&gt;=1),(Parametros!$C$28*((1+Parametros!$C$9)^MAX(0,(K$3-1)))),0)</f>
        <v>0</v>
      </c>
      <c r="L36" s="6">
        <f>=IF((L$3&gt;=1),(Parametros!$C$28*((1+Parametros!$C$9)^MAX(0,(L$3-1)))),0)</f>
        <v>0</v>
      </c>
      <c r="M36" s="6">
        <f>=IF((M$3&gt;=1),(Parametros!$C$28*((1+Parametros!$C$9)^MAX(0,(M$3-1)))),0)</f>
        <v>0</v>
      </c>
      <c r="N36" s="19" t="str">
        <f>=SUM(C36:M36)</f>
        <v>#ERROR</v>
      </c>
    </row>
    <row r="37">
      <c r="A37" s="2" t="str">
        <v>Otros ingresos al país (años de operación)</v>
      </c>
      <c r="B37" s="2" t="str">
        <v>kUSD</v>
      </c>
      <c r="C37" s="6">
        <f>=IF((C$3&gt;=1),Parametros!$C$29,0)</f>
        <v>0</v>
      </c>
      <c r="D37" s="6">
        <f>=IF((D$3&gt;=1),Parametros!$C$29,0)</f>
        <v>0</v>
      </c>
      <c r="E37" s="6">
        <f>=IF((E$3&gt;=1),Parametros!$C$29,0)</f>
        <v>0</v>
      </c>
      <c r="F37" s="6">
        <f>=IF((F$3&gt;=1),Parametros!$C$29,0)</f>
        <v>0</v>
      </c>
      <c r="G37" s="6">
        <f>=IF((G$3&gt;=1),Parametros!$C$29,0)</f>
        <v>0</v>
      </c>
      <c r="H37" s="6">
        <f>=IF((H$3&gt;=1),Parametros!$C$29,0)</f>
        <v>0</v>
      </c>
      <c r="I37" s="6">
        <f>=IF((I$3&gt;=1),Parametros!$C$29,0)</f>
        <v>0</v>
      </c>
      <c r="J37" s="6">
        <f>=IF((J$3&gt;=1),Parametros!$C$29,0)</f>
        <v>0</v>
      </c>
      <c r="K37" s="6">
        <f>=IF((K$3&gt;=1),Parametros!$C$29,0)</f>
        <v>0</v>
      </c>
      <c r="L37" s="6">
        <f>=IF((L$3&gt;=1),Parametros!$C$29,0)</f>
        <v>0</v>
      </c>
      <c r="M37" s="6">
        <f>=IF((M$3&gt;=1),Parametros!$C$29,0)</f>
        <v>0</v>
      </c>
      <c r="N37" s="19" t="str">
        <f>=SUM(C37:M37)</f>
        <v>#ERROR</v>
      </c>
    </row>
    <row r="38">
      <c r="A38" s="20" t="str">
        <v>TOTAL BENEFICIOS DIRECTOS AL PAÍS</v>
      </c>
      <c r="B38" s="2" t="str">
        <v>kUSD</v>
      </c>
      <c r="C38" s="19">
        <f>=(((((((C$23+C$34)+C$35)+C$32)+C$33)+C$12)+C$36)+C$37)</f>
        <v>0</v>
      </c>
      <c r="D38" s="19">
        <f>=(((((((D$23+D$34)+D$35)+D$32)+D$33)+D$12)+D$36)+D$37)</f>
        <v>41.68</v>
      </c>
      <c r="E38" s="19">
        <f>=(((((((E$23+E$34)+E$35)+E$32)+E$33)+E$12)+E$36)+E$37)</f>
        <v>41.68</v>
      </c>
      <c r="F38" s="19">
        <f>=(((((((F$23+F$34)+F$35)+F$32)+F$33)+F$12)+F$36)+F$37)</f>
        <v>41.68</v>
      </c>
      <c r="G38" s="19">
        <f>=(((((((G$23+G$34)+G$35)+G$32)+G$33)+G$12)+G$36)+G$37)</f>
        <v>41.68</v>
      </c>
      <c r="H38" s="19">
        <f>=(((((((H$23+H$34)+H$35)+H$32)+H$33)+H$12)+H$36)+H$37)</f>
        <v>41.68</v>
      </c>
      <c r="I38" s="19">
        <f>=(((((((I$23+I$34)+I$35)+I$32)+I$33)+I$12)+I$36)+I$37)</f>
        <v>41.68</v>
      </c>
      <c r="J38" s="19">
        <f>=(((((((J$23+J$34)+J$35)+J$32)+J$33)+J$12)+J$36)+J$37)</f>
        <v>41.68</v>
      </c>
      <c r="K38" s="19">
        <f>=(((((((K$23+K$34)+K$35)+K$32)+K$33)+K$12)+K$36)+K$37)</f>
        <v>41.68</v>
      </c>
      <c r="L38" s="19">
        <f>=(((((((L$23+L$34)+L$35)+L$32)+L$33)+L$12)+L$36)+L$37)</f>
        <v>41.68</v>
      </c>
      <c r="M38" s="19">
        <f>=(((((((M$23+M$34)+M$35)+M$32)+M$33)+M$12)+M$36)+M$37)</f>
        <v>41.68</v>
      </c>
      <c r="N38" s="19" t="str">
        <f>=SUM(C38:M38)</f>
        <v>#ERROR</v>
      </c>
    </row>
  </sheetData>
  <ignoredErrors>
    <ignoredError numberStoredAsText="1" sqref="A1:N38"/>
  </ignoredErrors>
</worksheet>
</file>

<file path=xl/worksheets/sheet13.xml><?xml version="1.0" encoding="utf-8"?>
<worksheet xmlns="http://schemas.openxmlformats.org/spreadsheetml/2006/main" xmlns:r="http://schemas.openxmlformats.org/officeDocument/2006/relationships">
  <dimension ref="A1:L17"/>
  <sheetViews>
    <sheetView workbookViewId="0"/>
  </sheetViews>
  <cols>
    <col min="1" max="1" width="48.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s>
  <sheetData>
    <row r="1">
      <c r="A1" s="3" t="str">
        <v>Flujos de caja, recuperación y partidas del motor (4.7 / misión §4)</v>
      </c>
    </row>
    <row r="2">
      <c r="A2" s="8" t="str">
        <v>FCFF = UDI + (interés devengado − escudo fiscal) + depreciación − CAPEX de ampliaciones + recuperación del capital de trabajo (año 0: −inversión total). FCFE = FCFF − interés pagado + escudo fiscal + desembolso − amortización. Recuperación por interpolación lineal del acumulado. El escudo se deriva de la regla de impuestos activa (regla plana: interés × tasa).</v>
      </c>
    </row>
    <row r="3">
      <c r="A3" s="26" t="str">
        <v>Concepto</v>
      </c>
      <c r="B3" s="26">
        <v>0</v>
      </c>
      <c r="C3" s="26">
        <v>1</v>
      </c>
      <c r="D3" s="26">
        <v>2</v>
      </c>
      <c r="E3" s="26">
        <v>3</v>
      </c>
      <c r="F3" s="26">
        <v>4</v>
      </c>
      <c r="G3" s="26">
        <v>5</v>
      </c>
      <c r="H3" s="26">
        <v>6</v>
      </c>
      <c r="I3" s="26">
        <v>7</v>
      </c>
      <c r="J3" s="26">
        <v>8</v>
      </c>
      <c r="K3" s="26">
        <v>9</v>
      </c>
      <c r="L3" s="26">
        <v>10</v>
      </c>
    </row>
    <row r="4">
      <c r="A4" s="2" t="str">
        <v>Flujo de caja del PROYECTO (FCFF)</v>
      </c>
      <c r="B4" s="6">
        <f>=Proyecciones!B$24+Deuda!$D$4+Depreciacion!I$9-FlujosCaja!B$16+FlujosCaja!B$17-Financiacion!$D$8</f>
        <v>-5.492333333333334</v>
      </c>
      <c r="C4" s="6">
        <f>=Proyecciones!C$24+Deuda!$D$5+Depreciacion!J$9-FlujosCaja!C$16+FlujosCaja!C$17</f>
        <v>-47.34928000000001</v>
      </c>
      <c r="D4" s="6">
        <f>=Proyecciones!D$24+Deuda!$D$6+Depreciacion!K$9-FlujosCaja!D$16+FlujosCaja!D$17</f>
        <v>-47.34928000000001</v>
      </c>
      <c r="E4" s="6">
        <f>=Proyecciones!E$24+Deuda!$D$7+Depreciacion!L$9-FlujosCaja!E$16+FlujosCaja!E$17</f>
        <v>-47.34928000000001</v>
      </c>
      <c r="F4" s="6">
        <f>=Proyecciones!F$24+Deuda!$D$8+Depreciacion!M$9-FlujosCaja!F$16+FlujosCaja!F$17</f>
        <v>-47.34928000000001</v>
      </c>
      <c r="G4" s="6">
        <f>=Proyecciones!G$24+Deuda!$D$9+Depreciacion!N$9-FlujosCaja!G$16+FlujosCaja!G$17</f>
        <v>-47.34928000000001</v>
      </c>
      <c r="H4" s="6">
        <f>=Proyecciones!H$24+Deuda!$D$10+Depreciacion!O$9-FlujosCaja!H$16+FlujosCaja!H$17</f>
        <v>-47.34928000000001</v>
      </c>
      <c r="I4" s="6">
        <f>=Proyecciones!I$24+Deuda!$D$11+Depreciacion!P$9-FlujosCaja!I$16+FlujosCaja!I$17</f>
        <v>-47.34928000000001</v>
      </c>
      <c r="J4" s="6">
        <f>=Proyecciones!J$24+Deuda!$D$12+Depreciacion!Q$9-FlujosCaja!J$16+FlujosCaja!J$17</f>
        <v>-47.34928000000001</v>
      </c>
      <c r="K4" s="6">
        <f>=Proyecciones!K$24+Deuda!$D$13+Depreciacion!R$9-FlujosCaja!K$16+FlujosCaja!K$17</f>
        <v>-47.34928000000001</v>
      </c>
      <c r="L4" s="6">
        <f>=Proyecciones!L$24+Deuda!$D$14+Depreciacion!S$9-FlujosCaja!L$16+FlujosCaja!L$17</f>
        <v>-47.34928000000001</v>
      </c>
    </row>
    <row r="5">
      <c r="A5" s="2" t="str">
        <v>Flujo acumulado del proyecto</v>
      </c>
      <c r="B5" s="6">
        <f>=B$4</f>
        <v>-5.492333333333334</v>
      </c>
      <c r="C5" s="6">
        <f>=B$5+C$4</f>
        <v>-52.84161333333334</v>
      </c>
      <c r="D5" s="6">
        <f>=C$5+D$4</f>
        <v>-100.19089333333335</v>
      </c>
      <c r="E5" s="6">
        <f>=D$5+E$4</f>
        <v>-147.54017333333337</v>
      </c>
      <c r="F5" s="6">
        <f>=E$5+F$4</f>
        <v>-194.8894533333334</v>
      </c>
      <c r="G5" s="6">
        <f>=F$5+G$4</f>
        <v>-242.2387333333334</v>
      </c>
      <c r="H5" s="6">
        <f>=G$5+H$4</f>
        <v>-289.58801333333344</v>
      </c>
      <c r="I5" s="6">
        <f>=H$5+I$4</f>
        <v>-336.93729333333346</v>
      </c>
      <c r="J5" s="6">
        <f>=I$5+J$4</f>
        <v>-384.2865733333335</v>
      </c>
      <c r="K5" s="6">
        <f>=J$5+K$4</f>
        <v>-431.6358533333335</v>
      </c>
      <c r="L5" s="6">
        <f>=K$5+L$4</f>
        <v>-478.9851333333335</v>
      </c>
    </row>
    <row r="6">
      <c r="A6" s="2" t="str">
        <v>Flujo de caja de los SOCIOS (FCFE)</v>
      </c>
      <c r="B6" s="6">
        <f>=B$4-Deuda!$G$4+Deuda!$C$4-Deuda!$F$4</f>
        <v>-5.492333333333334</v>
      </c>
      <c r="C6" s="6">
        <f>=C$4-Deuda!$G$5+Deuda!$C$5-Deuda!$F$5</f>
        <v>-47.34928000000001</v>
      </c>
      <c r="D6" s="6">
        <f>=D$4-Deuda!$G$6+Deuda!$C$6-Deuda!$F$6</f>
        <v>-47.34928000000001</v>
      </c>
      <c r="E6" s="6">
        <f>=E$4-Deuda!$G$7+Deuda!$C$7-Deuda!$F$7</f>
        <v>-47.34928000000001</v>
      </c>
      <c r="F6" s="6">
        <f>=F$4-Deuda!$G$8+Deuda!$C$8-Deuda!$F$8</f>
        <v>-47.34928000000001</v>
      </c>
      <c r="G6" s="6">
        <f>=G$4-Deuda!$G$9+Deuda!$C$9-Deuda!$F$9</f>
        <v>-47.34928000000001</v>
      </c>
      <c r="H6" s="6">
        <f>=H$4-Deuda!$G$10+Deuda!$C$10-Deuda!$F$10</f>
        <v>-47.34928000000001</v>
      </c>
      <c r="I6" s="6">
        <f>=I$4-Deuda!$G$11+Deuda!$C$11-Deuda!$F$11</f>
        <v>-47.34928000000001</v>
      </c>
      <c r="J6" s="6">
        <f>=J$4-Deuda!$G$12+Deuda!$C$12-Deuda!$F$12</f>
        <v>-47.34928000000001</v>
      </c>
      <c r="K6" s="6">
        <f>=K$4-Deuda!$G$13+Deuda!$C$13-Deuda!$F$13</f>
        <v>-47.34928000000001</v>
      </c>
      <c r="L6" s="6">
        <f>=L$4-Deuda!$G$14+Deuda!$C$14-Deuda!$F$14</f>
        <v>-47.34928000000001</v>
      </c>
    </row>
    <row r="7">
      <c r="A7" s="2" t="str">
        <v>Flujo acumulado de los socios</v>
      </c>
      <c r="B7" s="6">
        <f>=B$6</f>
        <v>-5.492333333333334</v>
      </c>
      <c r="C7" s="6">
        <f>=B$7+C$6</f>
        <v>-52.84161333333334</v>
      </c>
      <c r="D7" s="6">
        <f>=C$7+D$6</f>
        <v>-100.19089333333335</v>
      </c>
      <c r="E7" s="6">
        <f>=D$7+E$6</f>
        <v>-147.54017333333337</v>
      </c>
      <c r="F7" s="6">
        <f>=E$7+F$6</f>
        <v>-194.8894533333334</v>
      </c>
      <c r="G7" s="6">
        <f>=F$7+G$6</f>
        <v>-242.2387333333334</v>
      </c>
      <c r="H7" s="6">
        <f>=G$7+H$6</f>
        <v>-289.58801333333344</v>
      </c>
      <c r="I7" s="6">
        <f>=H$7+I$6</f>
        <v>-336.93729333333346</v>
      </c>
      <c r="J7" s="6">
        <f>=I$7+J$6</f>
        <v>-384.2865733333335</v>
      </c>
      <c r="K7" s="6">
        <f>=J$7+K$6</f>
        <v>-431.6358533333335</v>
      </c>
      <c r="L7" s="6">
        <f>=K$7+L$6</f>
        <v>-478.9851333333335</v>
      </c>
    </row>
    <row r="8">
      <c r="A8" s="2" t="str">
        <v>Saldo pendiente (inversión total)</v>
      </c>
      <c r="B8" s="6">
        <f>=MAX(0,-B$5)</f>
        <v>5.492333333333334</v>
      </c>
      <c r="C8" s="6">
        <f>=MAX(0,-C$5)</f>
        <v>52.84161333333334</v>
      </c>
      <c r="D8" s="6">
        <f>=MAX(0,-D$5)</f>
        <v>100.19089333333335</v>
      </c>
      <c r="E8" s="6">
        <f>=MAX(0,-E$5)</f>
        <v>147.54017333333337</v>
      </c>
      <c r="F8" s="6">
        <f>=MAX(0,-F$5)</f>
        <v>194.8894533333334</v>
      </c>
      <c r="G8" s="6">
        <f>=MAX(0,-G$5)</f>
        <v>242.2387333333334</v>
      </c>
      <c r="H8" s="6">
        <f>=MAX(0,-H$5)</f>
        <v>289.58801333333344</v>
      </c>
      <c r="I8" s="6">
        <f>=MAX(0,-I$5)</f>
        <v>336.93729333333346</v>
      </c>
      <c r="J8" s="6">
        <f>=MAX(0,-J$5)</f>
        <v>384.2865733333335</v>
      </c>
      <c r="K8" s="6">
        <f>=MAX(0,-K$5)</f>
        <v>431.6358533333335</v>
      </c>
      <c r="L8" s="6">
        <f>=MAX(0,-L$5)</f>
        <v>478.9851333333335</v>
      </c>
    </row>
    <row r="9">
      <c r="A9" s="2" t="str">
        <v>Saldo pendiente (capital aportado)</v>
      </c>
      <c r="B9" s="6">
        <f>=MAX(0,-B$7)</f>
        <v>5.492333333333334</v>
      </c>
      <c r="C9" s="6">
        <f>=MAX(0,-C$7)</f>
        <v>52.84161333333334</v>
      </c>
      <c r="D9" s="6">
        <f>=MAX(0,-D$7)</f>
        <v>100.19089333333335</v>
      </c>
      <c r="E9" s="6">
        <f>=MAX(0,-E$7)</f>
        <v>147.54017333333337</v>
      </c>
      <c r="F9" s="6">
        <f>=MAX(0,-F$7)</f>
        <v>194.8894533333334</v>
      </c>
      <c r="G9" s="6">
        <f>=MAX(0,-G$7)</f>
        <v>242.2387333333334</v>
      </c>
      <c r="H9" s="6">
        <f>=MAX(0,-H$7)</f>
        <v>289.58801333333344</v>
      </c>
      <c r="I9" s="6">
        <f>=MAX(0,-I$7)</f>
        <v>336.93729333333346</v>
      </c>
      <c r="J9" s="6">
        <f>=MAX(0,-J$7)</f>
        <v>384.2865733333335</v>
      </c>
      <c r="K9" s="6">
        <f>=MAX(0,-K$7)</f>
        <v>431.6358533333335</v>
      </c>
      <c r="L9" s="6">
        <f>=MAX(0,-L$7)</f>
        <v>478.9851333333335</v>
      </c>
    </row>
    <row r="11">
      <c r="A11" s="2" t="str">
        <v>Cruce del acumulado del proyecto (interpolación)</v>
      </c>
      <c r="C11" s="7" t="str">
        <f>=IF(AND(B$5&lt;0,C$5&gt;=0),B$$3+ABS(B$5)/(C$5-B$5),"")</f>
        <v/>
      </c>
      <c r="D11" s="7" t="str">
        <f>=IF(AND(C$5&lt;0,D$5&gt;=0),C$$3+ABS(C$5)/(D$5-C$5),"")</f>
        <v/>
      </c>
      <c r="E11" s="7" t="str">
        <f>=IF(AND(D$5&lt;0,E$5&gt;=0),D$$3+ABS(D$5)/(E$5-D$5),"")</f>
        <v/>
      </c>
      <c r="F11" s="7" t="str">
        <f>=IF(AND(E$5&lt;0,F$5&gt;=0),E$$3+ABS(E$5)/(F$5-E$5),"")</f>
        <v/>
      </c>
      <c r="G11" s="7" t="str">
        <f>=IF(AND(F$5&lt;0,G$5&gt;=0),F$$3+ABS(F$5)/(G$5-F$5),"")</f>
        <v/>
      </c>
      <c r="H11" s="7" t="str">
        <f>=IF(AND(G$5&lt;0,H$5&gt;=0),G$$3+ABS(G$5)/(H$5-G$5),"")</f>
        <v/>
      </c>
      <c r="I11" s="7" t="str">
        <f>=IF(AND(H$5&lt;0,I$5&gt;=0),H$$3+ABS(H$5)/(I$5-H$5),"")</f>
        <v/>
      </c>
      <c r="J11" s="7" t="str">
        <f>=IF(AND(I$5&lt;0,J$5&gt;=0),I$$3+ABS(I$5)/(J$5-I$5),"")</f>
        <v/>
      </c>
      <c r="K11" s="7" t="str">
        <f>=IF(AND(J$5&lt;0,K$5&gt;=0),J$$3+ABS(J$5)/(K$5-J$5),"")</f>
        <v/>
      </c>
      <c r="L11" s="7" t="str">
        <f>=IF(AND(K$5&lt;0,L$5&gt;=0),K$$3+ABS(K$5)/(L$5-K$5),"")</f>
        <v/>
      </c>
    </row>
    <row r="12">
      <c r="A12" s="2" t="str">
        <v>Cruce del acumulado de los socios (interpolación)</v>
      </c>
      <c r="C12" s="7" t="str">
        <f>=IF(AND(B$7&lt;0,C$7&gt;=0),B$$3+ABS(B$7)/(C$7-B$7),"")</f>
        <v/>
      </c>
      <c r="D12" s="7" t="str">
        <f>=IF(AND(C$7&lt;0,D$7&gt;=0),C$$3+ABS(C$7)/(D$7-C$7),"")</f>
        <v/>
      </c>
      <c r="E12" s="7" t="str">
        <f>=IF(AND(D$7&lt;0,E$7&gt;=0),D$$3+ABS(D$7)/(E$7-D$7),"")</f>
        <v/>
      </c>
      <c r="F12" s="7" t="str">
        <f>=IF(AND(E$7&lt;0,F$7&gt;=0),E$$3+ABS(E$7)/(F$7-E$7),"")</f>
        <v/>
      </c>
      <c r="G12" s="7" t="str">
        <f>=IF(AND(F$7&lt;0,G$7&gt;=0),F$$3+ABS(F$7)/(G$7-F$7),"")</f>
        <v/>
      </c>
      <c r="H12" s="7" t="str">
        <f>=IF(AND(G$7&lt;0,H$7&gt;=0),G$$3+ABS(G$7)/(H$7-G$7),"")</f>
        <v/>
      </c>
      <c r="I12" s="7" t="str">
        <f>=IF(AND(H$7&lt;0,I$7&gt;=0),H$$3+ABS(H$7)/(I$7-H$7),"")</f>
        <v/>
      </c>
      <c r="J12" s="7" t="str">
        <f>=IF(AND(I$7&lt;0,J$7&gt;=0),I$$3+ABS(I$7)/(J$7-I$7),"")</f>
        <v/>
      </c>
      <c r="K12" s="7" t="str">
        <f>=IF(AND(J$7&lt;0,K$7&gt;=0),J$$3+ABS(J$7)/(K$7-J$7),"")</f>
        <v/>
      </c>
      <c r="L12" s="7" t="str">
        <f>=IF(AND(K$7&lt;0,L$7&gt;=0),K$$3+ABS(K$7)/(L$7-K$7),"")</f>
        <v/>
      </c>
    </row>
    <row r="14">
      <c r="A14" s="20" t="str">
        <v>PERÍODO DE RECUPERACIÓN — INVERSIÓN TOTAL (años)</v>
      </c>
      <c r="B14" s="27" t="str">
        <f>=IF(COUNT(C11:L$11)=0,"No se recupera en el horizonte",MIN(C11:L$11))</f>
        <v>No se recupera en el horizonte</v>
      </c>
    </row>
    <row r="15">
      <c r="A15" s="8" t="str">
        <v>Método: interpolación lineal (t−1) + |acumulado anterior| / (acumulado actual − acumulado anterior); el mínimo de los cruces detectados.</v>
      </c>
      <c r="B15" s="27" t="str">
        <f>=IF(COUNT(C12:L$12)=0,"No se recupera en el horizonte",MIN(C12:L$12))</f>
        <v>No se recupera en el horizonte</v>
      </c>
    </row>
    <row r="16">
      <c r="A16" s="8" t="str">
        <v>El capital de trabajo se recupera solo si el parámetro «pct_recuperacion_capital_trabajo» lo indica (regla explícita, conservadora por defecto).</v>
      </c>
      <c r="B16" s="6">
        <f>=0</f>
        <v>0</v>
      </c>
      <c r="C16" s="6">
        <f>=0</f>
        <v>0</v>
      </c>
      <c r="D16" s="6">
        <f>=0</f>
        <v>0</v>
      </c>
      <c r="E16" s="6">
        <f>=0</f>
        <v>0</v>
      </c>
      <c r="F16" s="6">
        <f>=0</f>
        <v>0</v>
      </c>
      <c r="G16" s="6">
        <f>=0</f>
        <v>0</v>
      </c>
      <c r="H16" s="6">
        <f>=0</f>
        <v>0</v>
      </c>
      <c r="I16" s="6">
        <f>=0</f>
        <v>0</v>
      </c>
      <c r="J16" s="6">
        <f>=0</f>
        <v>0</v>
      </c>
      <c r="K16" s="6">
        <f>=0</f>
        <v>0</v>
      </c>
      <c r="L16" s="6">
        <f>=0</f>
        <v>0</v>
      </c>
    </row>
    <row r="17">
      <c r="A17" s="2" t="str">
        <v>Recuperación del capital de trabajo</v>
      </c>
      <c r="B17" s="6">
        <f>=IF(B$$3=L$$3,Parametros!$C$19*Parametros!$C$25,0)</f>
        <v>0</v>
      </c>
      <c r="C17" s="6">
        <f>=IF(C$$3=L$$3,Parametros!$C$19*Parametros!$C$25,0)</f>
        <v>0</v>
      </c>
      <c r="D17" s="6">
        <f>=IF(D$$3=L$$3,Parametros!$C$19*Parametros!$C$25,0)</f>
        <v>0</v>
      </c>
      <c r="E17" s="6">
        <f>=IF(E$$3=L$$3,Parametros!$C$19*Parametros!$C$25,0)</f>
        <v>0</v>
      </c>
      <c r="F17" s="6">
        <f>=IF(F$$3=L$$3,Parametros!$C$19*Parametros!$C$25,0)</f>
        <v>0</v>
      </c>
      <c r="G17" s="6">
        <f>=IF(G$$3=L$$3,Parametros!$C$19*Parametros!$C$25,0)</f>
        <v>0</v>
      </c>
      <c r="H17" s="6">
        <f>=IF(H$$3=L$$3,Parametros!$C$19*Parametros!$C$25,0)</f>
        <v>0</v>
      </c>
      <c r="I17" s="6">
        <f>=IF(I$$3=L$$3,Parametros!$C$19*Parametros!$C$25,0)</f>
        <v>0</v>
      </c>
      <c r="J17" s="6">
        <f>=IF(J$$3=L$$3,Parametros!$C$19*Parametros!$C$25,0)</f>
        <v>0</v>
      </c>
      <c r="K17" s="6">
        <f>=IF(K$$3=L$$3,Parametros!$C$19*Parametros!$C$25,0)</f>
        <v>0</v>
      </c>
      <c r="L17" s="6">
        <f>=IF(L$$3=L$$3,Parametros!$C$19*Parametros!$C$25,0)</f>
        <v>0</v>
      </c>
    </row>
  </sheetData>
  <ignoredErrors>
    <ignoredError numberStoredAsText="1" sqref="A1:L17"/>
  </ignoredErrors>
</worksheet>
</file>

<file path=xl/worksheets/sheet14.xml><?xml version="1.0" encoding="utf-8"?>
<worksheet xmlns="http://schemas.openxmlformats.org/spreadsheetml/2006/main" xmlns:r="http://schemas.openxmlformats.org/officeDocument/2006/relationships">
  <dimension ref="A1:L16"/>
  <sheetViews>
    <sheetView workbookViewId="0"/>
  </sheetViews>
  <cols>
    <col min="1" max="1" width="34.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s>
  <sheetData>
    <row r="1">
      <c r="A1" s="3" t="str">
        <v>Dividendos y beneficios distribuibles (misión §8) — miles de USD</v>
      </c>
    </row>
    <row r="2">
      <c r="A2" s="8" t="str">
        <v>base = max(0, UDI + saldo acumulable previo); reserva = pct_reserva × base; distribuible = base − reserva; propuestos = pct_reparto × distribuible; pagables = min(propuestos, caja acumulada FCFE). El saldo acumulable absorbe pérdidas y descuenta lo pagado.</v>
      </c>
    </row>
    <row r="3">
      <c r="A3" s="26" t="str">
        <v>Concepto</v>
      </c>
      <c r="B3" s="26">
        <v>0</v>
      </c>
      <c r="C3" s="26">
        <v>1</v>
      </c>
      <c r="D3" s="26">
        <v>2</v>
      </c>
      <c r="E3" s="26">
        <v>3</v>
      </c>
      <c r="F3" s="26">
        <v>4</v>
      </c>
      <c r="G3" s="26">
        <v>5</v>
      </c>
      <c r="H3" s="26">
        <v>6</v>
      </c>
      <c r="I3" s="26">
        <v>7</v>
      </c>
      <c r="J3" s="26">
        <v>8</v>
      </c>
      <c r="K3" s="26">
        <v>9</v>
      </c>
      <c r="L3" s="26">
        <v>10</v>
      </c>
    </row>
    <row r="4">
      <c r="A4" s="2" t="str">
        <v>Utilidad después de impuestos</v>
      </c>
      <c r="B4" s="6">
        <f>=Proyecciones!C$24</f>
        <v>0</v>
      </c>
      <c r="C4" s="6">
        <f>=Proyecciones!D$24</f>
        <v>-47.659515294117654</v>
      </c>
      <c r="D4" s="6">
        <f>=Proyecciones!E$24</f>
        <v>-47.659515294117654</v>
      </c>
      <c r="E4" s="6">
        <f>=Proyecciones!F$24</f>
        <v>-47.659515294117654</v>
      </c>
      <c r="F4" s="6">
        <f>=Proyecciones!G$24</f>
        <v>-47.659515294117654</v>
      </c>
      <c r="G4" s="6">
        <f>=Proyecciones!H$24</f>
        <v>-47.659515294117654</v>
      </c>
      <c r="H4" s="6">
        <f>=Proyecciones!I$24</f>
        <v>-47.659515294117654</v>
      </c>
      <c r="I4" s="6">
        <f>=Proyecciones!J$24</f>
        <v>-47.659515294117654</v>
      </c>
      <c r="J4" s="6">
        <f>=Proyecciones!K$24</f>
        <v>-47.659515294117654</v>
      </c>
      <c r="K4" s="6">
        <f>=Proyecciones!L$24</f>
        <v>-47.659515294117654</v>
      </c>
      <c r="L4" s="6">
        <f>=Proyecciones!M$24</f>
        <v>-47.659515294117654</v>
      </c>
    </row>
    <row r="5">
      <c r="A5" s="2" t="str">
        <v>Saldo acumulable previo</v>
      </c>
      <c r="B5" s="6">
        <f>=0</f>
        <v>0</v>
      </c>
      <c r="C5" s="6">
        <f>=B$14</f>
        <v>0</v>
      </c>
      <c r="D5" s="6">
        <f>=C$14</f>
        <v>-47.659515294117654</v>
      </c>
      <c r="E5" s="6">
        <f>=D$14</f>
        <v>-95.31903058823531</v>
      </c>
      <c r="F5" s="6">
        <f>=E$14</f>
        <v>-142.97854588235296</v>
      </c>
      <c r="G5" s="6">
        <f>=F$14</f>
        <v>-190.63806117647061</v>
      </c>
      <c r="H5" s="6">
        <f>=G$14</f>
        <v>-238.29757647058827</v>
      </c>
      <c r="I5" s="6">
        <f>=H$14</f>
        <v>-285.9570917647059</v>
      </c>
      <c r="J5" s="6">
        <f>=I$14</f>
        <v>-333.61660705882355</v>
      </c>
      <c r="K5" s="6">
        <f>=J$14</f>
        <v>-381.27612235294123</v>
      </c>
      <c r="L5" s="6">
        <f>=K$14</f>
        <v>-428.9356376470589</v>
      </c>
    </row>
    <row r="6">
      <c r="A6" s="2" t="str">
        <v>Base distribuible</v>
      </c>
      <c r="B6" s="6">
        <f>=0</f>
        <v>0</v>
      </c>
      <c r="C6" s="6">
        <f>=MAX(0,C$4+C$5)</f>
        <v>0</v>
      </c>
      <c r="D6" s="6">
        <f>=MAX(0,D$4+D$5)</f>
        <v>0</v>
      </c>
      <c r="E6" s="6">
        <f>=MAX(0,E$4+E$5)</f>
        <v>0</v>
      </c>
      <c r="F6" s="6">
        <f>=MAX(0,F$4+F$5)</f>
        <v>0</v>
      </c>
      <c r="G6" s="6">
        <f>=MAX(0,G$4+G$5)</f>
        <v>0</v>
      </c>
      <c r="H6" s="6">
        <f>=MAX(0,H$4+H$5)</f>
        <v>0</v>
      </c>
      <c r="I6" s="6">
        <f>=MAX(0,I$4+I$5)</f>
        <v>0</v>
      </c>
      <c r="J6" s="6">
        <f>=MAX(0,J$4+J$5)</f>
        <v>0</v>
      </c>
      <c r="K6" s="6">
        <f>=MAX(0,K$4+K$5)</f>
        <v>0</v>
      </c>
      <c r="L6" s="6">
        <f>=MAX(0,L$4+L$5)</f>
        <v>0</v>
      </c>
    </row>
    <row r="7">
      <c r="A7" s="2" t="str">
        <v>Reserva</v>
      </c>
      <c r="B7" s="6">
        <f>=0</f>
        <v>0</v>
      </c>
      <c r="C7" s="6">
        <f>=C$6*Parametros!$C$18</f>
        <v>0</v>
      </c>
      <c r="D7" s="6">
        <f>=D$6*Parametros!$C$18</f>
        <v>0</v>
      </c>
      <c r="E7" s="6">
        <f>=E$6*Parametros!$C$18</f>
        <v>0</v>
      </c>
      <c r="F7" s="6">
        <f>=F$6*Parametros!$C$18</f>
        <v>0</v>
      </c>
      <c r="G7" s="6">
        <f>=G$6*Parametros!$C$18</f>
        <v>0</v>
      </c>
      <c r="H7" s="6">
        <f>=H$6*Parametros!$C$18</f>
        <v>0</v>
      </c>
      <c r="I7" s="6">
        <f>=I$6*Parametros!$C$18</f>
        <v>0</v>
      </c>
      <c r="J7" s="6">
        <f>=J$6*Parametros!$C$18</f>
        <v>0</v>
      </c>
      <c r="K7" s="6">
        <f>=K$6*Parametros!$C$18</f>
        <v>0</v>
      </c>
      <c r="L7" s="6">
        <f>=L$6*Parametros!$C$18</f>
        <v>0</v>
      </c>
    </row>
    <row r="8">
      <c r="A8" s="2" t="str">
        <v>Distribuible</v>
      </c>
      <c r="B8" s="6">
        <f>=0</f>
        <v>0</v>
      </c>
      <c r="C8" s="6">
        <f>=C$6-C$7</f>
        <v>0</v>
      </c>
      <c r="D8" s="6">
        <f>=D$6-D$7</f>
        <v>0</v>
      </c>
      <c r="E8" s="6">
        <f>=E$6-E$7</f>
        <v>0</v>
      </c>
      <c r="F8" s="6">
        <f>=F$6-F$7</f>
        <v>0</v>
      </c>
      <c r="G8" s="6">
        <f>=G$6-G$7</f>
        <v>0</v>
      </c>
      <c r="H8" s="6">
        <f>=H$6-H$7</f>
        <v>0</v>
      </c>
      <c r="I8" s="6">
        <f>=I$6-I$7</f>
        <v>0</v>
      </c>
      <c r="J8" s="6">
        <f>=J$6-J$7</f>
        <v>0</v>
      </c>
      <c r="K8" s="6">
        <f>=K$6-K$7</f>
        <v>0</v>
      </c>
      <c r="L8" s="6">
        <f>=L$6-L$7</f>
        <v>0</v>
      </c>
    </row>
    <row r="9">
      <c r="A9" s="2" t="str">
        <v>Dividendos propuestos</v>
      </c>
      <c r="B9" s="6">
        <f>=0</f>
        <v>0</v>
      </c>
      <c r="C9" s="6">
        <f>=C$8*Parametros!$C$17</f>
        <v>0</v>
      </c>
      <c r="D9" s="6">
        <f>=D$8*Parametros!$C$17</f>
        <v>0</v>
      </c>
      <c r="E9" s="6">
        <f>=E$8*Parametros!$C$17</f>
        <v>0</v>
      </c>
      <c r="F9" s="6">
        <f>=F$8*Parametros!$C$17</f>
        <v>0</v>
      </c>
      <c r="G9" s="6">
        <f>=G$8*Parametros!$C$17</f>
        <v>0</v>
      </c>
      <c r="H9" s="6">
        <f>=H$8*Parametros!$C$17</f>
        <v>0</v>
      </c>
      <c r="I9" s="6">
        <f>=I$8*Parametros!$C$17</f>
        <v>0</v>
      </c>
      <c r="J9" s="6">
        <f>=J$8*Parametros!$C$17</f>
        <v>0</v>
      </c>
      <c r="K9" s="6">
        <f>=K$8*Parametros!$C$17</f>
        <v>0</v>
      </c>
      <c r="L9" s="6">
        <f>=L$8*Parametros!$C$17</f>
        <v>0</v>
      </c>
    </row>
    <row r="10">
      <c r="A10" s="2" t="str">
        <v>Caja acumulada disponible (FCFE)</v>
      </c>
      <c r="B10" s="6">
        <f>=0</f>
        <v>0</v>
      </c>
      <c r="C10" s="6">
        <f>=FlujosCaja!C$7</f>
        <v>-52.84161333333334</v>
      </c>
      <c r="D10" s="6">
        <f>=FlujosCaja!D$7</f>
        <v>-100.19089333333335</v>
      </c>
      <c r="E10" s="6">
        <f>=FlujosCaja!E$7</f>
        <v>-147.54017333333337</v>
      </c>
      <c r="F10" s="6">
        <f>=FlujosCaja!F$7</f>
        <v>-194.8894533333334</v>
      </c>
      <c r="G10" s="6">
        <f>=FlujosCaja!G$7</f>
        <v>-242.2387333333334</v>
      </c>
      <c r="H10" s="6">
        <f>=FlujosCaja!H$7</f>
        <v>-289.58801333333344</v>
      </c>
      <c r="I10" s="6">
        <f>=FlujosCaja!I$7</f>
        <v>-336.93729333333346</v>
      </c>
      <c r="J10" s="6">
        <f>=FlujosCaja!J$7</f>
        <v>-384.2865733333335</v>
      </c>
      <c r="K10" s="6">
        <f>=FlujosCaja!K$7</f>
        <v>-431.6358533333335</v>
      </c>
      <c r="L10" s="6">
        <f>=FlujosCaja!L$7</f>
        <v>-478.9851333333335</v>
      </c>
    </row>
    <row r="11">
      <c r="A11" s="2" t="str">
        <v>Dividendos PAGABLES (limitados por caja)</v>
      </c>
      <c r="B11" s="6">
        <f>=0</f>
        <v>0</v>
      </c>
      <c r="C11" s="6">
        <f>=MIN(C$9,MAX(0,C$10))</f>
        <v>0</v>
      </c>
      <c r="D11" s="6">
        <f>=MIN(D$9,MAX(0,D$10))</f>
        <v>0</v>
      </c>
      <c r="E11" s="6">
        <f>=MIN(E$9,MAX(0,E$10))</f>
        <v>0</v>
      </c>
      <c r="F11" s="6">
        <f>=MIN(F$9,MAX(0,F$10))</f>
        <v>0</v>
      </c>
      <c r="G11" s="6">
        <f>=MIN(G$9,MAX(0,G$10))</f>
        <v>0</v>
      </c>
      <c r="H11" s="6">
        <f>=MIN(H$9,MAX(0,H$10))</f>
        <v>0</v>
      </c>
      <c r="I11" s="6">
        <f>=MIN(I$9,MAX(0,I$10))</f>
        <v>0</v>
      </c>
      <c r="J11" s="6">
        <f>=MIN(J$9,MAX(0,J$10))</f>
        <v>0</v>
      </c>
      <c r="K11" s="6">
        <f>=MIN(K$9,MAX(0,K$10))</f>
        <v>0</v>
      </c>
      <c r="L11" s="6">
        <f>=MIN(L$9,MAX(0,L$10))</f>
        <v>0</v>
      </c>
    </row>
    <row r="12">
      <c r="A12" s="2" t="str">
        <v>Dividendos — socio nacional</v>
      </c>
      <c r="B12" s="6">
        <f>=B$11*Parametros!$C$16</f>
        <v>0</v>
      </c>
      <c r="C12" s="6">
        <f>=C$11*Parametros!$C$16</f>
        <v>0</v>
      </c>
      <c r="D12" s="6">
        <f>=D$11*Parametros!$C$16</f>
        <v>0</v>
      </c>
      <c r="E12" s="6">
        <f>=E$11*Parametros!$C$16</f>
        <v>0</v>
      </c>
      <c r="F12" s="6">
        <f>=F$11*Parametros!$C$16</f>
        <v>0</v>
      </c>
      <c r="G12" s="6">
        <f>=G$11*Parametros!$C$16</f>
        <v>0</v>
      </c>
      <c r="H12" s="6">
        <f>=H$11*Parametros!$C$16</f>
        <v>0</v>
      </c>
      <c r="I12" s="6">
        <f>=I$11*Parametros!$C$16</f>
        <v>0</v>
      </c>
      <c r="J12" s="6">
        <f>=J$11*Parametros!$C$16</f>
        <v>0</v>
      </c>
      <c r="K12" s="6">
        <f>=K$11*Parametros!$C$16</f>
        <v>0</v>
      </c>
      <c r="L12" s="6">
        <f>=L$11*Parametros!$C$16</f>
        <v>0</v>
      </c>
    </row>
    <row r="13">
      <c r="A13" s="2" t="str">
        <v>Dividendos — socio extranjero</v>
      </c>
      <c r="B13" s="6">
        <f>=B$11*(1-Parametros!$C$16)</f>
        <v>0</v>
      </c>
      <c r="C13" s="6">
        <f>=C$11*(1-Parametros!$C$16)</f>
        <v>0</v>
      </c>
      <c r="D13" s="6">
        <f>=D$11*(1-Parametros!$C$16)</f>
        <v>0</v>
      </c>
      <c r="E13" s="6">
        <f>=E$11*(1-Parametros!$C$16)</f>
        <v>0</v>
      </c>
      <c r="F13" s="6">
        <f>=F$11*(1-Parametros!$C$16)</f>
        <v>0</v>
      </c>
      <c r="G13" s="6">
        <f>=G$11*(1-Parametros!$C$16)</f>
        <v>0</v>
      </c>
      <c r="H13" s="6">
        <f>=H$11*(1-Parametros!$C$16)</f>
        <v>0</v>
      </c>
      <c r="I13" s="6">
        <f>=I$11*(1-Parametros!$C$16)</f>
        <v>0</v>
      </c>
      <c r="J13" s="6">
        <f>=J$11*(1-Parametros!$C$16)</f>
        <v>0</v>
      </c>
      <c r="K13" s="6">
        <f>=K$11*(1-Parametros!$C$16)</f>
        <v>0</v>
      </c>
      <c r="L13" s="6">
        <f>=L$11*(1-Parametros!$C$16)</f>
        <v>0</v>
      </c>
    </row>
    <row r="14">
      <c r="A14" s="2" t="str">
        <v>Saldo acumulable del período</v>
      </c>
      <c r="B14" s="6">
        <f>=B$4</f>
        <v>0</v>
      </c>
      <c r="C14" s="6">
        <f>=B$14+C$4-C$7-C$11</f>
        <v>-47.659515294117654</v>
      </c>
      <c r="D14" s="6">
        <f>=C$14+D$4-D$7-D$11</f>
        <v>-95.31903058823531</v>
      </c>
      <c r="E14" s="6">
        <f>=D$14+E$4-E$7-E$11</f>
        <v>-142.97854588235296</v>
      </c>
      <c r="F14" s="6">
        <f>=E$14+F$4-F$7-F$11</f>
        <v>-190.63806117647061</v>
      </c>
      <c r="G14" s="6">
        <f>=F$14+G$4-G$7-G$11</f>
        <v>-238.29757647058827</v>
      </c>
      <c r="H14" s="6">
        <f>=G$14+H$4-H$7-H$11</f>
        <v>-285.9570917647059</v>
      </c>
      <c r="I14" s="6">
        <f>=H$14+I$4-I$7-I$11</f>
        <v>-333.61660705882355</v>
      </c>
      <c r="J14" s="6">
        <f>=I$14+J$4-J$7-J$11</f>
        <v>-381.27612235294123</v>
      </c>
      <c r="K14" s="6">
        <f>=J$14+K$4-K$7-K$11</f>
        <v>-428.9356376470589</v>
      </c>
      <c r="L14" s="6">
        <f>=K$14+L$4-L$7-L$11</f>
        <v>-476.5951529411766</v>
      </c>
    </row>
    <row r="16">
      <c r="A16" s="8" t="str">
        <v>Ningún dividendo supera la caja modelada; los propuestos que queden por encima quedan restringidos y el diagnóstico lo advierte. La PARTICIPACIÓN (composición del capital) y el REPARTO son conceptos distintos.</v>
      </c>
    </row>
  </sheetData>
  <ignoredErrors>
    <ignoredError numberStoredAsText="1" sqref="A1:L16"/>
  </ignoredErrors>
</worksheet>
</file>

<file path=xl/worksheets/sheet15.xml><?xml version="1.0" encoding="utf-8"?>
<worksheet xmlns="http://schemas.openxmlformats.org/spreadsheetml/2006/main" xmlns:r="http://schemas.openxmlformats.org/officeDocument/2006/relationships">
  <dimension ref="A1:M13"/>
  <sheetViews>
    <sheetView workbookViewId="0"/>
  </sheetViews>
  <cols>
    <col min="1" max="1" width="40.83203125" customWidth="1"/>
    <col min="2" max="2" width="11.83203125" customWidth="1"/>
    <col min="3" max="3" width="11.83203125" customWidth="1"/>
    <col min="4" max="4" width="11.83203125" customWidth="1"/>
    <col min="5" max="5" width="11.83203125" customWidth="1"/>
    <col min="6" max="6" width="11.83203125" customWidth="1"/>
    <col min="7" max="7" width="11.83203125" customWidth="1"/>
    <col min="8" max="8" width="11.83203125" customWidth="1"/>
    <col min="9" max="9" width="11.83203125" customWidth="1"/>
    <col min="10" max="10" width="11.83203125" customWidth="1"/>
    <col min="11" max="11" width="11.83203125" customWidth="1"/>
    <col min="12" max="12" width="11.83203125" customWidth="1"/>
    <col min="13" max="13" width="12.83203125" customWidth="1"/>
  </cols>
  <sheetData>
    <row r="1">
      <c r="A1" s="3" t="str">
        <v>Beneficios directos al país (4.11) — miles de USD por año</v>
      </c>
    </row>
    <row r="2">
      <c r="A2" s="8" t="str">
        <v>Metadatos por partida: el impuesto, dividendos y pagos por fuerza de trabajo provienen de reglas del motor; los conceptos de explotación se activan desde el año 1; los pagos por fuerza de trabajo INCLUYEN el montaje del año 0. El total del período completo concilia con el resumen y las conclusiones.</v>
      </c>
    </row>
    <row r="3">
      <c r="A3" s="26" t="str">
        <v>Concepto</v>
      </c>
      <c r="B3" s="26">
        <v>0</v>
      </c>
      <c r="C3" s="26">
        <v>1</v>
      </c>
      <c r="D3" s="26">
        <v>2</v>
      </c>
      <c r="E3" s="26">
        <v>3</v>
      </c>
      <c r="F3" s="26">
        <v>4</v>
      </c>
      <c r="G3" s="26">
        <v>5</v>
      </c>
      <c r="H3" s="26">
        <v>6</v>
      </c>
      <c r="I3" s="26">
        <v>7</v>
      </c>
      <c r="J3" s="26">
        <v>8</v>
      </c>
      <c r="K3" s="26">
        <v>9</v>
      </c>
      <c r="L3" s="26">
        <v>10</v>
      </c>
      <c r="M3" s="26" t="str">
        <v>Total</v>
      </c>
    </row>
    <row r="4">
      <c r="A4" s="2" t="str">
        <v>Impuesto sobre utilidades</v>
      </c>
      <c r="B4" s="6">
        <f>=Proyecciones!C$23</f>
        <v>0</v>
      </c>
      <c r="C4" s="6">
        <f>=Proyecciones!D$23</f>
        <v>0</v>
      </c>
      <c r="D4" s="6">
        <f>=Proyecciones!E$23</f>
        <v>0</v>
      </c>
      <c r="E4" s="6">
        <f>=Proyecciones!F$23</f>
        <v>0</v>
      </c>
      <c r="F4" s="6">
        <f>=Proyecciones!G$23</f>
        <v>0</v>
      </c>
      <c r="G4" s="6">
        <f>=Proyecciones!H$23</f>
        <v>0</v>
      </c>
      <c r="H4" s="6">
        <f>=Proyecciones!I$23</f>
        <v>0</v>
      </c>
      <c r="I4" s="6">
        <f>=Proyecciones!J$23</f>
        <v>0</v>
      </c>
      <c r="J4" s="6">
        <f>=Proyecciones!K$23</f>
        <v>0</v>
      </c>
      <c r="K4" s="6">
        <f>=Proyecciones!L$23</f>
        <v>0</v>
      </c>
      <c r="L4" s="6">
        <f>=Proyecciones!M$23</f>
        <v>0</v>
      </c>
      <c r="M4" s="19">
        <f>=SUM(B4:M4)</f>
        <v>0</v>
      </c>
    </row>
    <row r="5">
      <c r="A5" s="2" t="str">
        <v>Otros impuestos, tasas y contribuciones</v>
      </c>
      <c r="B5" s="6">
        <f>=Proyecciones!C$34</f>
        <v>0</v>
      </c>
      <c r="C5" s="6">
        <f>=Proyecciones!D$34</f>
        <v>5.68</v>
      </c>
      <c r="D5" s="6">
        <f>=Proyecciones!E$34</f>
        <v>5.68</v>
      </c>
      <c r="E5" s="6">
        <f>=Proyecciones!F$34</f>
        <v>5.68</v>
      </c>
      <c r="F5" s="6">
        <f>=Proyecciones!G$34</f>
        <v>5.68</v>
      </c>
      <c r="G5" s="6">
        <f>=Proyecciones!H$34</f>
        <v>5.68</v>
      </c>
      <c r="H5" s="6">
        <f>=Proyecciones!I$34</f>
        <v>5.68</v>
      </c>
      <c r="I5" s="6">
        <f>=Proyecciones!J$34</f>
        <v>5.68</v>
      </c>
      <c r="J5" s="6">
        <f>=Proyecciones!K$34</f>
        <v>5.68</v>
      </c>
      <c r="K5" s="6">
        <f>=Proyecciones!L$34</f>
        <v>5.68</v>
      </c>
      <c r="L5" s="6">
        <f>=Proyecciones!M$34</f>
        <v>5.68</v>
      </c>
      <c r="M5" s="19">
        <f>=SUM(B5:M5)</f>
        <v>56.8</v>
      </c>
    </row>
    <row r="6">
      <c r="A6" s="2" t="str">
        <v>Dividendos de la parte cubana</v>
      </c>
      <c r="B6" s="6">
        <f>=Proyecciones!C$32</f>
        <v>0</v>
      </c>
      <c r="C6" s="6">
        <f>=Proyecciones!D$32</f>
        <v>0</v>
      </c>
      <c r="D6" s="6">
        <f>=Proyecciones!E$32</f>
        <v>0</v>
      </c>
      <c r="E6" s="6">
        <f>=Proyecciones!F$32</f>
        <v>0</v>
      </c>
      <c r="F6" s="6">
        <f>=Proyecciones!G$32</f>
        <v>0</v>
      </c>
      <c r="G6" s="6">
        <f>=Proyecciones!H$32</f>
        <v>0</v>
      </c>
      <c r="H6" s="6">
        <f>=Proyecciones!I$32</f>
        <v>0</v>
      </c>
      <c r="I6" s="6">
        <f>=Proyecciones!J$32</f>
        <v>0</v>
      </c>
      <c r="J6" s="6">
        <f>=Proyecciones!K$32</f>
        <v>0</v>
      </c>
      <c r="K6" s="6">
        <f>=Proyecciones!L$32</f>
        <v>0</v>
      </c>
      <c r="L6" s="6">
        <f>=Proyecciones!M$32</f>
        <v>0</v>
      </c>
      <c r="M6" s="19">
        <f>=SUM(B6:M6)</f>
        <v>0</v>
      </c>
    </row>
    <row r="7">
      <c r="A7" s="2" t="str">
        <v>Aranceles</v>
      </c>
      <c r="B7" s="6">
        <f>=Proyecciones!C$35</f>
        <v>0</v>
      </c>
      <c r="C7" s="6">
        <f>=Proyecciones!D$35</f>
        <v>0</v>
      </c>
      <c r="D7" s="6">
        <f>=Proyecciones!E$35</f>
        <v>0</v>
      </c>
      <c r="E7" s="6">
        <f>=Proyecciones!F$35</f>
        <v>0</v>
      </c>
      <c r="F7" s="6">
        <f>=Proyecciones!G$35</f>
        <v>0</v>
      </c>
      <c r="G7" s="6">
        <f>=Proyecciones!H$35</f>
        <v>0</v>
      </c>
      <c r="H7" s="6">
        <f>=Proyecciones!I$35</f>
        <v>0</v>
      </c>
      <c r="I7" s="6">
        <f>=Proyecciones!J$35</f>
        <v>0</v>
      </c>
      <c r="J7" s="6">
        <f>=Proyecciones!K$35</f>
        <v>0</v>
      </c>
      <c r="K7" s="6">
        <f>=Proyecciones!L$35</f>
        <v>0</v>
      </c>
      <c r="L7" s="6">
        <f>=Proyecciones!M$35</f>
        <v>0</v>
      </c>
      <c r="M7" s="19">
        <f>=SUM(B7:M7)</f>
        <v>0</v>
      </c>
    </row>
    <row r="8">
      <c r="A8" s="2" t="str">
        <v>Pagos por la fuerza de trabajo</v>
      </c>
      <c r="B8" s="6">
        <f>=Proyecciones!C$33</f>
        <v>0</v>
      </c>
      <c r="C8" s="6">
        <f>=Proyecciones!D$33</f>
        <v>36</v>
      </c>
      <c r="D8" s="6">
        <f>=Proyecciones!E$33</f>
        <v>36</v>
      </c>
      <c r="E8" s="6">
        <f>=Proyecciones!F$33</f>
        <v>36</v>
      </c>
      <c r="F8" s="6">
        <f>=Proyecciones!G$33</f>
        <v>36</v>
      </c>
      <c r="G8" s="6">
        <f>=Proyecciones!H$33</f>
        <v>36</v>
      </c>
      <c r="H8" s="6">
        <f>=Proyecciones!I$33</f>
        <v>36</v>
      </c>
      <c r="I8" s="6">
        <f>=Proyecciones!J$33</f>
        <v>36</v>
      </c>
      <c r="J8" s="6">
        <f>=Proyecciones!K$33</f>
        <v>36</v>
      </c>
      <c r="K8" s="6">
        <f>=Proyecciones!L$33</f>
        <v>36</v>
      </c>
      <c r="L8" s="6">
        <f>=Proyecciones!M$33</f>
        <v>36</v>
      </c>
      <c r="M8" s="19">
        <f>=SUM(B8:M8)</f>
        <v>360</v>
      </c>
    </row>
    <row r="9">
      <c r="A9" s="2" t="str">
        <v>Canon</v>
      </c>
      <c r="B9" s="6">
        <f>=Proyecciones!C$12</f>
        <v>0</v>
      </c>
      <c r="C9" s="6">
        <f>=Proyecciones!D$12</f>
        <v>0</v>
      </c>
      <c r="D9" s="6">
        <f>=Proyecciones!E$12</f>
        <v>0</v>
      </c>
      <c r="E9" s="6">
        <f>=Proyecciones!F$12</f>
        <v>0</v>
      </c>
      <c r="F9" s="6">
        <f>=Proyecciones!G$12</f>
        <v>0</v>
      </c>
      <c r="G9" s="6">
        <f>=Proyecciones!H$12</f>
        <v>0</v>
      </c>
      <c r="H9" s="6">
        <f>=Proyecciones!I$12</f>
        <v>0</v>
      </c>
      <c r="I9" s="6">
        <f>=Proyecciones!J$12</f>
        <v>0</v>
      </c>
      <c r="J9" s="6">
        <f>=Proyecciones!K$12</f>
        <v>0</v>
      </c>
      <c r="K9" s="6">
        <f>=Proyecciones!L$12</f>
        <v>0</v>
      </c>
      <c r="L9" s="6">
        <f>=Proyecciones!M$12</f>
        <v>0</v>
      </c>
      <c r="M9" s="19">
        <f>=SUM(B9:M9)</f>
        <v>0</v>
      </c>
    </row>
    <row r="10">
      <c r="A10" s="2" t="str">
        <v>Royalties</v>
      </c>
      <c r="B10" s="6">
        <f>=Proyecciones!C$36</f>
        <v>0</v>
      </c>
      <c r="C10" s="6">
        <f>=Proyecciones!D$36</f>
        <v>0</v>
      </c>
      <c r="D10" s="6">
        <f>=Proyecciones!E$36</f>
        <v>0</v>
      </c>
      <c r="E10" s="6">
        <f>=Proyecciones!F$36</f>
        <v>0</v>
      </c>
      <c r="F10" s="6">
        <f>=Proyecciones!G$36</f>
        <v>0</v>
      </c>
      <c r="G10" s="6">
        <f>=Proyecciones!H$36</f>
        <v>0</v>
      </c>
      <c r="H10" s="6">
        <f>=Proyecciones!I$36</f>
        <v>0</v>
      </c>
      <c r="I10" s="6">
        <f>=Proyecciones!J$36</f>
        <v>0</v>
      </c>
      <c r="J10" s="6">
        <f>=Proyecciones!K$36</f>
        <v>0</v>
      </c>
      <c r="K10" s="6">
        <f>=Proyecciones!L$36</f>
        <v>0</v>
      </c>
      <c r="L10" s="6">
        <f>=Proyecciones!M$36</f>
        <v>0</v>
      </c>
      <c r="M10" s="19">
        <f>=SUM(B10:M10)</f>
        <v>0</v>
      </c>
    </row>
    <row r="11">
      <c r="A11" s="2" t="str">
        <v>Otros ingresos</v>
      </c>
      <c r="B11" s="6">
        <f>=Proyecciones!C$37</f>
        <v>0</v>
      </c>
      <c r="C11" s="6">
        <f>=Proyecciones!D$37</f>
        <v>0</v>
      </c>
      <c r="D11" s="6">
        <f>=Proyecciones!E$37</f>
        <v>0</v>
      </c>
      <c r="E11" s="6">
        <f>=Proyecciones!F$37</f>
        <v>0</v>
      </c>
      <c r="F11" s="6">
        <f>=Proyecciones!G$37</f>
        <v>0</v>
      </c>
      <c r="G11" s="6">
        <f>=Proyecciones!H$37</f>
        <v>0</v>
      </c>
      <c r="H11" s="6">
        <f>=Proyecciones!I$37</f>
        <v>0</v>
      </c>
      <c r="I11" s="6">
        <f>=Proyecciones!J$37</f>
        <v>0</v>
      </c>
      <c r="J11" s="6">
        <f>=Proyecciones!K$37</f>
        <v>0</v>
      </c>
      <c r="K11" s="6">
        <f>=Proyecciones!L$37</f>
        <v>0</v>
      </c>
      <c r="L11" s="6">
        <f>=Proyecciones!M$37</f>
        <v>0</v>
      </c>
      <c r="M11" s="19">
        <f>=SUM(B11:M11)</f>
        <v>0</v>
      </c>
    </row>
    <row r="12">
      <c r="A12" s="20" t="str">
        <v>TOTAL BENEFICIOS DIRECTOS AL PAÍS (período completo)</v>
      </c>
      <c r="B12" s="19">
        <f>=SUM(B4:B11)</f>
        <v>0</v>
      </c>
      <c r="C12" s="19">
        <f>=SUM(C4:C11)</f>
        <v>41.68</v>
      </c>
      <c r="D12" s="19">
        <f>=SUM(D4:D11)</f>
        <v>41.68</v>
      </c>
      <c r="E12" s="19">
        <f>=SUM(E4:E11)</f>
        <v>41.68</v>
      </c>
      <c r="F12" s="19">
        <f>=SUM(F4:F11)</f>
        <v>41.68</v>
      </c>
      <c r="G12" s="19">
        <f>=SUM(G4:G11)</f>
        <v>41.68</v>
      </c>
      <c r="H12" s="19">
        <f>=SUM(H4:H11)</f>
        <v>41.68</v>
      </c>
      <c r="I12" s="19">
        <f>=SUM(I4:I11)</f>
        <v>41.68</v>
      </c>
      <c r="J12" s="19">
        <f>=SUM(J4:J11)</f>
        <v>41.68</v>
      </c>
      <c r="K12" s="19">
        <f>=SUM(K4:K11)</f>
        <v>41.68</v>
      </c>
      <c r="L12" s="19">
        <f>=SUM(L4:L11)</f>
        <v>41.68</v>
      </c>
      <c r="M12" s="19">
        <f>=SUM(B12:M12)</f>
        <v>416.8</v>
      </c>
    </row>
    <row r="13">
      <c r="A13" s="8" t="str">
        <v>Subtotal de la explotación (años 1–10), etiquetado aparte:</v>
      </c>
      <c r="B13" s="6">
        <f>=SUM(B12:M12)-B12</f>
        <v>416.8</v>
      </c>
    </row>
  </sheetData>
  <ignoredErrors>
    <ignoredError numberStoredAsText="1" sqref="A1:M13"/>
  </ignoredErrors>
</worksheet>
</file>

<file path=xl/worksheets/sheet16.xml><?xml version="1.0" encoding="utf-8"?>
<worksheet xmlns="http://schemas.openxmlformats.org/spreadsheetml/2006/main" xmlns:r="http://schemas.openxmlformats.org/officeDocument/2006/relationships">
  <dimension ref="A1:C12"/>
  <sheetViews>
    <sheetView workbookViewId="0"/>
  </sheetViews>
  <cols>
    <col min="1" max="1" width="40.83203125" customWidth="1"/>
    <col min="2" max="2" width="12.83203125" customWidth="1"/>
    <col min="3" max="3" width="24.83203125" customWidth="1"/>
  </cols>
  <sheetData>
    <row r="1">
      <c r="A1" s="3" t="str">
        <v>Fuerza de trabajo (4.9) — resumen</v>
      </c>
    </row>
    <row r="3">
      <c r="A3" s="26" t="str">
        <v>Categoría</v>
      </c>
      <c r="B3" s="26" t="str">
        <v>Cantidad</v>
      </c>
      <c r="C3" s="26" t="str">
        <v>Salario promedio anual (CUP)</v>
      </c>
    </row>
    <row r="4">
      <c r="A4" s="2" t="str">
        <v>cubano_directivo</v>
      </c>
      <c r="B4" s="11">
        <f>=SUMIFS(Personal!$D$4:$D$53,Personal!$C$4:$C$53,"cubano_directivo",Personal!$A$4:$A$53,"&gt;0")</f>
        <v>1</v>
      </c>
      <c r="C4" s="12">
        <v>647628</v>
      </c>
    </row>
    <row r="5">
      <c r="A5" s="2" t="str">
        <v>cubano_otro</v>
      </c>
      <c r="B5" s="11">
        <f>=SUMIFS(Personal!$D$4:$D$53,Personal!$C$4:$C$53,"cubano_otro",Personal!$A$4:$A$53,"&gt;0")</f>
        <v>8</v>
      </c>
      <c r="C5" s="12">
        <v>429046.5</v>
      </c>
    </row>
    <row r="6">
      <c r="A6" s="2" t="str">
        <v>extranjero_directivo</v>
      </c>
      <c r="B6" s="11">
        <f>=SUMIFS(Personal!$D$4:$D$53,Personal!$C$4:$C$53,"extranjero_directivo",Personal!$A$4:$A$53,"&gt;0")</f>
        <v>1</v>
      </c>
      <c r="C6" s="12">
        <v>240000</v>
      </c>
    </row>
    <row r="7">
      <c r="A7" s="2" t="str">
        <v>extranjero_otro</v>
      </c>
      <c r="B7" s="11">
        <f>=SUMIFS(Personal!$D$4:$D$53,Personal!$C$4:$C$53,"extranjero_otro",Personal!$A$4:$A$53,"&gt;0")</f>
        <v>0</v>
      </c>
      <c r="C7" s="12">
        <v>0</v>
      </c>
    </row>
    <row r="8">
      <c r="A8" s="20" t="str">
        <v>Total (operación)</v>
      </c>
      <c r="B8" s="28">
        <f>=SUM(B4:B7)</f>
        <v>10</v>
      </c>
    </row>
    <row r="9">
      <c r="A9" s="2" t="str">
        <v>Trabajadores en etapa de montaje (año 0)</v>
      </c>
      <c r="B9" s="11">
        <f>=SUMIFS(Personal!$D$4:$D$53,Personal!$A$4:$A$53,0)</f>
        <v>0</v>
      </c>
    </row>
    <row r="10">
      <c r="A10" s="2" t="str">
        <v>Salario promedio anual ponderado (CUP)</v>
      </c>
      <c r="B10" s="12">
        <v>432000</v>
      </c>
    </row>
    <row r="12">
      <c r="A12" s="8" t="str">
        <v>Entidad autorizada a contratar: [Pendiente: entidad autorizada a contratar — brecha B-15; implícita CSMC, S.A. según el contrato.] El contrato prevé la contratación de la fuerza de trabajo cubana conforme a la legislación vigente y la revisión de currículos por el Consejo de Dirección (F01, cláusula 3).</v>
      </c>
    </row>
  </sheetData>
  <ignoredErrors>
    <ignoredError numberStoredAsText="1" sqref="A1:C12"/>
  </ignoredErrors>
</worksheet>
</file>

<file path=xl/worksheets/sheet17.xml><?xml version="1.0" encoding="utf-8"?>
<worksheet xmlns="http://schemas.openxmlformats.org/spreadsheetml/2006/main" xmlns:r="http://schemas.openxmlformats.org/officeDocument/2006/relationships">
  <dimension ref="A1:D9"/>
  <sheetViews>
    <sheetView workbookViewId="0"/>
  </sheetViews>
  <cols>
    <col min="1" max="1" width="42.83203125" customWidth="1"/>
    <col min="2" max="2" width="10.83203125" customWidth="1"/>
    <col min="3" max="3" width="10.83203125" customWidth="1"/>
    <col min="4" max="4" width="40.83203125" customWidth="1"/>
  </cols>
  <sheetData>
    <row r="1">
      <c r="A1" s="3" t="str">
        <v>Cronograma inversionista (4.10)</v>
      </c>
    </row>
    <row r="3">
      <c r="A3" s="26" t="str">
        <v>Etapa</v>
      </c>
      <c r="B3" s="26" t="str">
        <v>Inicio</v>
      </c>
      <c r="C3" s="26" t="str">
        <v>Fin</v>
      </c>
      <c r="D3" s="26" t="str">
        <v>Observación</v>
      </c>
    </row>
    <row r="4">
      <c r="A4" s="14" t="str">
        <v>Preinversión: estudios, investigaciones y permisos</v>
      </c>
      <c r="B4" s="14" t="str">
        <v>2026-01</v>
      </c>
      <c r="C4" s="14" t="str">
        <v>2026-06</v>
      </c>
      <c r="D4" s="14" t="str">
        <v>Fase documentada (F08 p. 17). [Pendiente: fechas precisas — B-14; colocación provisional 2026 editable.]</v>
      </c>
    </row>
    <row r="5">
      <c r="A5" s="14" t="str">
        <v>Preapertura: inscripciones, cuentas, aportes y ejecución de inversiones pactadas</v>
      </c>
      <c r="B5" s="14" t="str">
        <v>2026-02</v>
      </c>
      <c r="C5" s="14" t="str">
        <v>2026-12</v>
      </c>
      <c r="D5" s="14" t="str">
        <v>Período de preapertura del contrato (H-015): cronograma de acciones revisado semanalmente por las partes. [Fechas provisionales — B-14.]</v>
      </c>
    </row>
    <row r="6">
      <c r="A6" s="14" t="str">
        <v>Ejecución: recepción de suministros importados y montaje de equipos</v>
      </c>
      <c r="B6" s="14" t="str">
        <v>2026-07</v>
      </c>
      <c r="C6" s="14" t="str">
        <v>2026-11</v>
      </c>
      <c r="D6" s="14" t="str">
        <v>Fase documentada (F08 p. 17: recepción de suministros, montaje, asistencia técnica y capacitación). [Provisional — B-14.]</v>
      </c>
    </row>
    <row r="7">
      <c r="A7" s="14" t="str">
        <v>Pruebas, puesta en marcha e inicio de la explotación</v>
      </c>
      <c r="B7" s="14" t="str">
        <v>2026-12</v>
      </c>
      <c r="C7" s="14" t="str">
        <v>2027-01</v>
      </c>
      <c r="D7" s="14" t="str">
        <v>Fase documentada (F08 p. 17). El inicio de operaciones queda condicionado a las licencias (V-02, V-06). [Provisional — B-14.]</v>
      </c>
    </row>
    <row r="8">
      <c r="A8" s="14" t="str">
        <v>Operación comercial (horizonte de 10 años)</v>
      </c>
      <c r="B8" s="14" t="str">
        <v>2027-01</v>
      </c>
      <c r="C8" s="14" t="str">
        <v>2036-12</v>
      </c>
      <c r="D8" s="14" t="str">
        <v>Horizonte documentado (H-012): 10 años de operación; el calendario del expediente rotula 2026–2035 con un desfase interno de etiquetado registrado (el EERR y el flujo usan años distintos para la inversión).</v>
      </c>
    </row>
    <row r="9">
      <c r="A9" s="14" t="str">
        <v>Estudios de postinversión y evaluación de la prórroga</v>
      </c>
      <c r="B9" s="14" t="str">
        <v>2034-01</v>
      </c>
      <c r="C9" s="14" t="str">
        <v>2034-12</v>
      </c>
      <c r="D9" s="14" t="str">
        <v>F02: evaluación en 2034 para valorar 10 años más de vigencia (H-012); F08 p. 17: «Estudios de Postinversión Año 2034».</v>
      </c>
    </row>
  </sheetData>
  <ignoredErrors>
    <ignoredError numberStoredAsText="1" sqref="A1:D9"/>
  </ignoredErrors>
</worksheet>
</file>

<file path=xl/worksheets/sheet18.xml><?xml version="1.0" encoding="utf-8"?>
<worksheet xmlns="http://schemas.openxmlformats.org/spreadsheetml/2006/main" xmlns:r="http://schemas.openxmlformats.org/officeDocument/2006/relationships">
  <dimension ref="A1:E15"/>
  <sheetViews>
    <sheetView workbookViewId="0"/>
  </sheetViews>
  <cols>
    <col min="1" max="1" width="34.83203125" customWidth="1"/>
    <col min="2" max="2" width="12.83203125" customWidth="1"/>
    <col min="3" max="3" width="12.83203125" customWidth="1"/>
    <col min="4" max="4" width="14.83203125" customWidth="1"/>
    <col min="5" max="5" width="40.83203125" customWidth="1"/>
  </cols>
  <sheetData>
    <row r="1">
      <c r="A1" s="3" t="str">
        <v>Consumos técnicos (4.6)</v>
      </c>
    </row>
    <row r="3">
      <c r="A3" s="26" t="str">
        <v>Concepto</v>
      </c>
      <c r="B3" s="26" t="str">
        <v>Unidad</v>
      </c>
      <c r="C3" s="26" t="str">
        <v>Cantidad</v>
      </c>
      <c r="D3" s="26" t="str">
        <v>Período</v>
      </c>
      <c r="E3" s="26" t="str">
        <v>Observación</v>
      </c>
    </row>
    <row r="5">
      <c r="A5" s="3" t="str">
        <v>Notas técnicas</v>
      </c>
    </row>
    <row r="6">
      <c r="A6" s="2" t="str">
        <v>Caracterización de bienes y servicios</v>
      </c>
      <c r="B6" s="2" t="str">
        <v>Centro estomatológico internacional que operará sobre la instalación existente del Departamento de Estomatología de la Sucursal Holguín de SMC, con dos gabinetes dentales completos en buen estado, un laboratorio de prótesis (banco de prótesis y prensa hidráulica en uso), esterilización (autoclave de mesa de 40 L en estado regular), un equipo de rayos X estomatológico INOPERATIVO (monitor roto), un compresor de 200 L con aceite en estado regular (no conforme: el uso estomatológico exige compresor seco), un láser terapéutico y de blanqueamiento con 12 puntas, climatización, informática y mobiliario de espera y consulta (inventario de 42 medios, fuente F04; registros H-065, H-066, H-068). El expediente no aporta superficies ni distribución de áreas. [Pendiente: dirección exacta y soportes gráficos — brecha B-08.]</v>
      </c>
    </row>
    <row r="7">
      <c r="A7" s="2" t="str">
        <v>Capacidad instalada</v>
      </c>
      <c r="B7" s="2" t="str">
        <v>SIN ESTUDIO DE CAPACIDAD DOCUMENTADO (brecha B-10): el expediente no aporta horas de utilización por recurso, duración media por procedimiento ni calendario de atención. La plantilla NO INVENTA capacidad: la tabla de recursos queda vacía y la demanda prevista de la tabla de servicios circula sin límite técnico; el diagnóstico de la app marca esta ausencia en cada recálculo. La dotación existente documentada (2 gabinetes, 1 posición de imagenología inoperativa, 1 banco de prótesis y 10 trabajadores) no permite derivar capacidad sin los datos de utilización. [Pendiente: cronometrajes y calendario para limitar la producción por capacidad real.]</v>
      </c>
    </row>
    <row r="8">
      <c r="A8" s="2" t="str">
        <v>Plazo para alcanzar los niveles previstos</v>
      </c>
      <c r="B8" s="2" t="str">
        <v>La valoración del expediente recomienda construir el estudio de factibilidad con las estadísticas de 2019 como año pre-crisis para «reflejar cifras aún más sustanciales» (F02) — es decir, la demanda prevista de la tabla (año 1) se reconoce como base conservadora. [Pendiente: proyección de niveles de producción y su plazo — brechas B-10 y B-24.]</v>
      </c>
    </row>
    <row r="9">
      <c r="A9" s="2" t="str">
        <v>Tecnologías utilizadas</v>
      </c>
      <c r="B9" s="2" t="str">
        <v>Equipamiento existente deteriorado (F04/F09; registros H-064 a H-066): motor de baja «híbrido producto de una innovación de baja calidad» en prótesis; prensa hidráulica antigua (proceso más largo que el protocolizado, casos repetidos por afectación de la dimensión vertical); correcciones sin micromotor de mano (con roturas frecuentes de la pieza de mano); sin eliminador de burbujas (calidad de prótesis afectada); cocción de prótesis en microondas por no disponer de olla polimerizadora a presión; equipo de rayos X con monitor roto; compresor con aceite no conforme. Desabastecimiento general de los renglones del cuadro básico (71 renglones, H-067).</v>
      </c>
    </row>
    <row r="10">
      <c r="A10" s="2" t="str">
        <v>Tecnologías a incorporar</v>
      </c>
      <c r="B10" s="2" t="str">
        <v>Cinco equipos aportados por el inversionista (cotización F06; justificación de F09, registro H-069): compresor de aire seco para uso estomatológico (3 885,00 USD), prensa hidráulica nueva (413,00 USD), micromotor de mano (284,00 USD), eliminador de burbujas (290,00 USD) y olla polimerizadora a presión (402,00 USD). Con ellos se recuperan dos servicios suspendidos (radiografía y blanqueamientos — este último por insumos), se modernizan dos procesos de prótesis y se incorpora tecnología nueva. [Pendientes: monitor del equipo de rayos X, sin cotizar (B-09); escáner intraoral 3D cotizado pero no decidido (C-08/B-07); limas de endodoncia para TPR (B-20).]</v>
      </c>
    </row>
    <row r="11">
      <c r="A11" s="2" t="str">
        <v>Localización</v>
      </c>
      <c r="B11" s="2" t="str">
        <v>Provincia de Holguín, Cuba (contrato y valoración; registro H-011). [Pendiente: dirección del inmueble — en blanco en el contrato —, características del local e infraestructura disponible; brechas B-06 y B-08.]</v>
      </c>
    </row>
    <row r="12">
      <c r="A12" s="2" t="str">
        <v>Infraestructura requerida</v>
      </c>
      <c r="B12" s="2" t="str">
        <v>[Pendiente: infraestructura disponible (electricidad, agua, comunicaciones) — brecha B-08.]</v>
      </c>
    </row>
    <row r="13">
      <c r="A13" s="2" t="str">
        <v>Terrenos e instalaciones</v>
      </c>
      <c r="B13" s="2" t="str">
        <v>Inmueble de la Sucursal Holguín aportado en derecho real de usufructo durante la vigencia del contrato (F01, cláusula 1.2). [Pendiente: identificación del inmueble, avalúo y certificado de la Dirección de Patrimonio — brecha B-06.]</v>
      </c>
    </row>
    <row r="14">
      <c r="A14" s="2" t="str">
        <v>Necesidades de construcción</v>
      </c>
      <c r="B14" s="2" t="str">
        <v>[Pendiente: presupuesto y alcance de las obras de remodelación del Centro que el contrato encarga a CSMC (cláusula 8.1 b)] — el modelo de inversión del expediente presupuesta 0,00 para construcción y montaje (H-020). Brecha B-27.</v>
      </c>
    </row>
    <row r="15">
      <c r="A15" s="2" t="str">
        <v>Escenario de capacidad activo</v>
      </c>
      <c r="B15" s="2" t="str">
        <v>A — capacidad constante</v>
      </c>
    </row>
  </sheetData>
  <ignoredErrors>
    <ignoredError numberStoredAsText="1" sqref="A1:E15"/>
  </ignoredErrors>
</worksheet>
</file>

<file path=xl/worksheets/sheet19.xml><?xml version="1.0" encoding="utf-8"?>
<worksheet xmlns="http://schemas.openxmlformats.org/spreadsheetml/2006/main" xmlns:r="http://schemas.openxmlformats.org/officeDocument/2006/relationships">
  <dimension ref="A1:B14"/>
  <sheetViews>
    <sheetView workbookViewId="0"/>
  </sheetViews>
  <cols>
    <col min="1" max="1" width="40.83203125" customWidth="1"/>
    <col min="2" max="2" width="90.83203125" customWidth="1"/>
  </cols>
  <sheetData>
    <row r="1">
      <c r="A1" s="3" t="str">
        <v>Análisis de mercado (4.8)</v>
      </c>
    </row>
    <row r="3">
      <c r="A3" s="26" t="str">
        <v>Caracterización de productos y servicios</v>
      </c>
      <c r="B3" s="2" t="str">
        <v>Servicios estomatológicos de estándar internacional prestados por profesionales cubanos, con 15 líneas de servicio a precios de lista de CSMC (H-037/H-060). Contexto documentado de demanda represada: 13 de 15 servicios activos; TPR y blanqueamientos suspendidos (73 pacientes de blanqueamiento rechazados en el quinquenio, 10 950,00 USD de ingreso perdido; prótesis — el servicio de más demanda e ingreso — operando al 75 % con un promedio histórico de ≈50 000 USD/año) (F09; H-061 a H-063). [Pendiente: caracterización de mercado propiamente dicha — brecha B-24.]</v>
      </c>
    </row>
    <row r="4">
      <c r="A4" s="26" t="str">
        <v>Requisitos regulatorios y registros</v>
      </c>
      <c r="B4" s="2" t="str">
        <v>[Pendiente: requisitos regulatorios verificados — brecha B-16 y validaciones V-01 a V-06.] Compromisos documentados del contrato (F01, cláusula 8.1): CSMC gestionará licencias comerciales y sanitarias, registros (Mercantil, ONAT, ONEI), autorizaciones locales para nuevas tecnologías, aval técnico de los medios, nomenclador de importación/exportación y gestiones ante la Aduana. La exención arancelaria declarada por la cotización (H-049) requiere verificación (V-04).</v>
      </c>
    </row>
    <row r="5">
      <c r="A5" s="26" t="str">
        <v>Materias primas y materiales auxiliares</v>
      </c>
      <c r="B5" s="2" t="str">
        <v>Insumos y material gastable del cuadro básico de estomatología (71 renglones declarados, H-067): anestésicos (benzocaína, articaína), resinas compuestas (Filtek Z250 XT en 6 tonos), adhesivos, ionómeros, cementos, materiales de prótesis (acrílicos, monómero, ceras, alginato, piedras, dientes de polímero), profilaxis, esterilización y desinfección, y kits de blanqueamiento (F03, ≈60 renglones cotizados). [Pendientes: limas de endodoncia para TPR (B-20) y conciliación 71/60 renglones (B-23).]</v>
      </c>
    </row>
    <row r="6">
      <c r="A6" s="26" t="str">
        <v>Fuentes y ubicación de suministros</v>
      </c>
      <c r="B6" s="2" t="str">
        <v>Importación aportada por Leisure Exporting LLC (stock inicial de 6 meses: 63 581,30 USD, cotización F03) y reposición prevista por el mismo canal (F02: la parte extranjera garantiza los insumos). [Pendiente: contrato de suministro continuo — brecha B-22.]</v>
      </c>
    </row>
    <row r="7">
      <c r="A7" s="26" t="str">
        <v>Consumo estimado</v>
      </c>
      <c r="B7" s="2" t="str">
        <v>Costo material del modelo: 63 581,30 USD en el primer período de 6 meses (stock aportado) y 127 162,60 USD anuales implícitos en el EERR del expediente (3 051,9 kCUP/año a su tasa 24; H-029/H-040). Reparto por servicio provisional (H-040): convención proporcional al precio, EDITABLE, pendiente del desglose real (B-13).</v>
      </c>
    </row>
    <row r="8">
      <c r="A8" s="26" t="str">
        <v>Demanda aparente</v>
      </c>
      <c r="B8" s="2" t="str">
        <v>[Pendiente: demanda aparente — sin estudio de mercado (H-080; brecha B-24).]</v>
      </c>
    </row>
    <row r="9">
      <c r="A9" s="26" t="str">
        <v>Demanda solvente</v>
      </c>
      <c r="B9" s="2" t="str">
        <v>[Pendiente: demanda solvente y captación prevista — sin estudio (H-080; brecha B-24).]</v>
      </c>
    </row>
    <row r="10">
      <c r="A10" s="26" t="str">
        <v>Método de estimación</v>
      </c>
      <c r="B10" s="2" t="str">
        <v>Sin método de estimación documentado. La valoración recomienda el estudio de factibilidad con las estadísticas de 2019 como año pre-crisis (F02); F09 aporta referencias anecdóticas de demanda represada. La app exige documentar fuentes y fechas: ninguna estimación de mercado se incorpora como dato.</v>
      </c>
    </row>
    <row r="11">
      <c r="A11" s="26" t="str">
        <v>Fuentes consultadas (con fecha)</v>
      </c>
      <c r="B11" s="2" t="str">
        <v>Fuentes del expediente: lista de precios de CSMC (F02/F08), diagnóstico de servicios (F09), inventario y cuadro básico (F04/F07). Referencia contextual: Global Burden of Disease Study 2019 (citado por F02). [Pendiente: fuentes primarias de mercado — brecha B-24.]</v>
      </c>
    </row>
    <row r="12">
      <c r="A12" s="26" t="str">
        <v>Comercialización: exportaciones</v>
      </c>
      <c r="B12" s="2" t="str">
        <v>El balance financiero externo del expediente computa la totalidad de los ingresos como exportaciones de servicios (F08, p. 10: «Exportaciones 132 789,7»), y el objeto contractual declara el acceso a mercados de América Latina, Centroamérica y el Caribe. Los 15 servicios quedan clasificados en el canal de exportación (H-037). [Pendiente: plan comercial y contratos — brecha B-25.]</v>
      </c>
    </row>
    <row r="13">
      <c r="A13" s="26" t="str">
        <v>Comercialización: divisas</v>
      </c>
      <c r="B13" s="2" t="str">
        <v>[Pendiente: política de facturación en divisas — brecha B-25.]</v>
      </c>
    </row>
    <row r="14">
      <c r="A14" s="26" t="str">
        <v>Comercialización: moneda nacional</v>
      </c>
      <c r="B14" s="2" t="str">
        <v>[Pendiente: componente de venta en moneda nacional, si existiera — el expediente no lo desglosa (brecha B-25).] Los precios de la lista están expresados en CUP (equivalentes a USD a la tasa 120, H-025).</v>
      </c>
    </row>
  </sheetData>
  <ignoredErrors>
    <ignoredError numberStoredAsText="1" sqref="A1:B14"/>
  </ignoredErrors>
</worksheet>
</file>

<file path=xl/worksheets/sheet20.xml><?xml version="1.0" encoding="utf-8"?>
<worksheet xmlns="http://schemas.openxmlformats.org/spreadsheetml/2006/main" xmlns:r="http://schemas.openxmlformats.org/officeDocument/2006/relationships">
  <dimension ref="A1:B30"/>
  <sheetViews>
    <sheetView workbookViewId="0"/>
  </sheetViews>
  <cols>
    <col min="1" max="1" width="40.83203125" customWidth="1"/>
    <col min="2" max="2" width="90.83203125" customWidth="1"/>
  </cols>
  <sheetData>
    <row r="1">
      <c r="A1" s="3" t="str">
        <v>Descripción del negocio (4.1, 4.2, 4.5, 4.12)</v>
      </c>
    </row>
    <row r="3">
      <c r="A3" s="26" t="str">
        <v>Elaborado por</v>
      </c>
      <c r="B3" s="2" t="str">
        <v>[Pendiente: nombre y apellidos de quien elabora — brecha B-01]</v>
      </c>
    </row>
    <row r="4">
      <c r="A4" s="26" t="str">
        <v>Cargo</v>
      </c>
      <c r="B4" s="2" t="str">
        <v>[Pendiente: cargo del elaborador — brecha B-01]</v>
      </c>
    </row>
    <row r="5">
      <c r="A5" s="26" t="str">
        <v>Fecha</v>
      </c>
    </row>
    <row r="6">
      <c r="A6" s="26" t="str">
        <v>Declaración de responsabilidad</v>
      </c>
      <c r="B6" s="2" t="str">
        <v>Pendiente</v>
      </c>
    </row>
    <row r="7">
      <c r="A7" s="26" t="str">
        <v>Nombre del proyecto</v>
      </c>
      <c r="B7" s="2" t="str">
        <v>Centro Estomatológico Internacional Holguín</v>
      </c>
    </row>
    <row r="8">
      <c r="A8" s="26" t="str">
        <v>Denominación de la propuesta</v>
      </c>
      <c r="B8" s="2" t="str">
        <v>Contrato de Asociación Económica Internacional entre Comercializadora de Servicios Médicos Cubanos, S.A. (CSMC, S.A.) y Leisure Exporting LLC para la comercialización y prestación de servicios de estomatología y bienes asociados en la provincia de Holguín</v>
      </c>
    </row>
    <row r="9">
      <c r="A9" s="26" t="str">
        <v>Modalidad de inversión</v>
      </c>
      <c r="B9" s="2" t="str">
        <v>Contrato de Asociación Económica Internacional (AEI) — unión temporal de las partes, sin personalidad jurídica (Ley 118/2014 y Decreto 325/2014, invocadas por el contrato; registro H-009). La aprobación de la constitución de la AEI por la autoridad competente y su inscripción en el Registro Mercantil son validaciones pendientes (V-01, V-02).</v>
      </c>
    </row>
    <row r="10">
      <c r="A10" s="26" t="str">
        <v>Objeto social o contractual</v>
      </c>
      <c r="B10" s="2" t="str">
        <v>Comercialización y prestación de servicios de estomatología y bienes asociados por profesionales y técnicos cubanos altamente calificados en un Centro Internacional Estomatológico de alta tecnología en la provincia de Holguín, así como capacitación profesional, enfocada a la mejora continua, con la utilización de alta tecnología que permita el acceso a nuevos mercados en América Latina, Centroamérica y el Caribe (texto del contrato, fuente F01, cláusula 1; registro H-010).</v>
      </c>
    </row>
    <row r="11">
      <c r="A11" s="26" t="str">
        <v>Plazo de vigencia</v>
      </c>
      <c r="B11" s="2" t="str">
        <v>Diez (10) años contados desde la inscripción de la Escritura Pública en el Registro Mercantil, con evaluación en 2034 para valorar una prórroga de diez años más (contrato F01, cláusula de vigencia; valoración F02; registro H-012). El modelo del expediente proyecta diez años de operación (2026–2035 en su calendario).</v>
      </c>
    </row>
    <row r="12">
      <c r="A12" s="26" t="str">
        <v>Fundamentación y propuesta de valor</v>
      </c>
      <c r="B12" s="2" t="str">
        <v>[Pendiente: fundamentación formal con la vinculación expresa al Plan Nacional de Desarrollo Económico y Social y a la Estrategia de Desarrollo Territorial de Holguín — brecha B-26.] Contexto documentado del expediente: las enfermedades bucodentales afectan a casi 3 500 millones de personas y la caries dental no tratada es el trastorno de salud más frecuente (Global Burden of Disease Study 2019, citado por la valoración F02); el proyecto se propone convertir a Cuba en destino competitivo para la salud bucal aprovechando la reputación histórica de los servicios estomatológicos de Holguín, recuperar sus instalaciones deterioradas (dos servicios suspendidos y prótesis al 75 % de capacidad por afectaciones tecnológicas, registros H-061 a H-066) e introducir tecnologías de rehabilitación protésica digital, cirugía guiada, medicina regenerativa, telemedicina y ortodoncia digital personalizada (F02).</v>
      </c>
    </row>
    <row r="13">
      <c r="A13" s="26" t="str">
        <v>Relación con objetivos de la inversión extranjera</v>
      </c>
      <c r="B13" s="2" t="str">
        <v>Rehabilitar los servicios estomatológicos de la provincia; incorporar y mantener nuevas tecnologías, equipamientos, piezas de repuesto, instrumental, medicamentos, materiales gastables e insumos desechables; capacitar a los recursos humanos y ofertar atención estomatológica de alta profesionalidad a nivel internacional como exportación de servicios (objetivos específicos de la valoración F02).</v>
      </c>
    </row>
    <row r="14">
      <c r="A14" s="26" t="str">
        <v>Relación con el PNDES</v>
      </c>
      <c r="B14" s="2" t="str">
        <v>[Pendiente: alineación con el PNDES vigente — brecha B-26.]</v>
      </c>
    </row>
    <row r="15">
      <c r="A15" s="26" t="str">
        <v>Relación con la estrategia territorial</v>
      </c>
      <c r="B15" s="2" t="str">
        <v>[Pendiente: alineación con la Estrategia de Desarrollo Territorial de Holguín — brecha B-26.]</v>
      </c>
    </row>
    <row r="16">
      <c r="A16" s="26" t="str">
        <v>Bienes y servicios</v>
      </c>
      <c r="B16" s="2" t="str">
        <v>Quince líneas de servicio con precios de la lista de CSMC (en CUP, equivalentes a precios en USD según la propia tabla del expediente) y demanda mensual prevista documentadas en 4.6: tratamientos pulporadiculares, obturaciones de resina y de amalgama, profilaxis con ultrasonido, prótesis, exodoncia, resedimentado de corona, corona y espiga acrílica, pulpotomía, drenaje de absceso, reparación de prótesis, cura de óxido de zinc, radiografía, corona acrílica y blanqueamientos (registros H-037 y H-060). La cartera narrativa del expediente incluye además examen estomatológico, odontopediatría, odontogeriatría, ortodoncia, periodoncia, imagenología, esterilización y estética (blanqueamientos, cirugías, carillas).</v>
      </c>
    </row>
    <row r="17">
      <c r="A17" s="26" t="str">
        <v>Mercado interno</v>
      </c>
      <c r="B17" s="2" t="str">
        <v>[Pendiente: análisis del mercado interno — brecha B-24.] Contexto documentado: la demanda actual presenta servicios represados (73 pacientes de blanqueamiento rechazados en el quinquenio y prótesis operando al 75 % de su capacidad, registro H-062/H-063), pero el expediente no aporta demanda aparente ni solvente.</v>
      </c>
    </row>
    <row r="18">
      <c r="A18" s="26" t="str">
        <v>Mercado externo</v>
      </c>
      <c r="B18" s="2" t="str">
        <v>[Pendiente: análisis del mercado externo y estrategia de comercialización — brechas B-24 y B-25.] El objeto contractual declara como propósito el acceso a nuevos mercados en América Latina, Centroamérica y el Caribe (H-010), y el balance financiero externo del expediente computa la totalidad de los ingresos como exportaciones, pero no existe estudio de mercado ni plan comercial adjunto.</v>
      </c>
    </row>
    <row r="19">
      <c r="A19" s="26" t="str">
        <v>Regla de distribución de beneficios</v>
      </c>
      <c r="B19" s="2" t="str">
        <v>El contrato pacta la distribución de los beneficios económicos en proporción paritaria del cincuenta por ciento (50 %) para cada parte (F01, cláusula 7.5; registro H-013), pago anual en USD tras certificación de los estados financieros. INCOHERENCIA REGISTRADA (C-05): la tabla de aportaciones del expediente declara participaciones del 49 % (cubana) y 51 % (extranjera) sin conciliar con el reparto paritario; brecha B-04 pendiente de decisión de las partes. El modelo aplica el reparto pactado 50/50.</v>
      </c>
    </row>
    <row r="20">
      <c r="A20" s="26" t="str">
        <v>Inversionista extranjero — nombre</v>
      </c>
      <c r="B20" s="2" t="str">
        <v>Leisure Exporting LLC</v>
      </c>
    </row>
    <row r="21">
      <c r="A21" s="26" t="str">
        <v>Inversionista extranjero — domicilio</v>
      </c>
      <c r="B21" s="2" t="str">
        <v>Constituida bajo las leyes de los Estados Unidos de América. Domicilio según el contrato: 3964 South Cir Largo, Florida 37774 (F01). [Contradicción C-09: la cotización consigna 6800 N Ave., Tampa, Florida 33604 — acreditación registral pendiente, brecha B-05.]</v>
      </c>
    </row>
    <row r="22">
      <c r="A22" s="26" t="str">
        <v>Inversionista extranjero — identificación fiscal</v>
      </c>
      <c r="B22" s="2" t="str">
        <v>Registro núm. L23000147130; Acta de Protocolización núm. 897 de 13 de septiembre de 2024, Lic. Ivett Irinia González, Notaria de La Habana (F01; registro H-006).</v>
      </c>
    </row>
    <row r="23">
      <c r="A23" s="26" t="str">
        <v>Inversionista extranjero — experiencia</v>
      </c>
      <c r="B23" s="2" t="str">
        <v>[Pendiente: experiencia en la rama y vínculos con el mercado cubano — brecha B-05.]</v>
      </c>
    </row>
    <row r="24">
      <c r="A24" s="26" t="str">
        <v>Inversionista extranjero — vinculación con Cuba</v>
      </c>
      <c r="B24" s="2" t="str">
        <v>Representada por Yovannis Camilo Domínguez Fornaris, Manager y Representante Legal (F01; H-007). Cotiza y aportará los equipos e insumos del proyecto (cotizaciones F03 y F06).</v>
      </c>
    </row>
    <row r="25">
      <c r="A25" s="26" t="str">
        <v>Inversionista nacional — nombre</v>
      </c>
      <c r="B25" s="2" t="str">
        <v>Comercializadora de Servicios Médicos Cubanos, S.A. (CSMC, S.A.)</v>
      </c>
    </row>
    <row r="26">
      <c r="A26" s="26" t="str">
        <v>Inversionista nacional — domicilio</v>
      </c>
      <c r="B26" s="2" t="str">
        <v>Calle 44, número 502, entre 5ta Avenida y 5ta A, municipio Playa, provincia La Habana, República de Cuba (F01; registro H-004). [Pendiente: uniformar la abreviatura oficial — contradicción C-10: el expediente alterna SMC / CSMC / CMSM.]</v>
      </c>
    </row>
    <row r="27">
      <c r="A27" s="26" t="str">
        <v>Inversionista nacional — identificación fiscal</v>
      </c>
      <c r="B27" s="2" t="str">
        <v>Escritura Notarial núm. 366 de 11 de octubre de 2011, con modificación estatuaria por Escritura núm. 394 de 17 de septiembre de 2015; Registro Mercantil de La Habana, Libro de Sociedades de Capital Totalmente Cubano, Tomo XXVIII, Folio 120, Hoja 38, Inscripción Primera (13 de octubre de 2011); código ONEI 60598; licencia para operar en divisas G1199680001; NIT 30001869140 (F01; H-004).</v>
      </c>
    </row>
    <row r="28">
      <c r="A28" s="26" t="str">
        <v>Inversionista nacional — experiencia</v>
      </c>
      <c r="B28" s="2" t="str">
        <v>Sociedad mercantil de capital totalmente cubano dedicada a la comercialización de servicios médicos (F01). [Pendiente: objeto social vigente y experiencia específica en estomatología.]</v>
      </c>
    </row>
    <row r="29">
      <c r="A29" s="26" t="str">
        <v>Inversionista nacional — vinculación con Cuba</v>
      </c>
      <c r="B29" s="2" t="str">
        <v>Aportará el derecho real de usufructo del inmueble del Centro en Holguín, efectivo para la preapertura (salarios y arrendamiento) y la gestión registral, sanitaria y de contratación del proyecto (F01, cláusulas 1.2, 7 y 8.1).</v>
      </c>
    </row>
    <row r="30">
      <c r="A30" s="26" t="str">
        <v>Conclusiones (marco del usuario)</v>
      </c>
      <c r="B30" s="2" t="str">
        <v>CONCLUSIONES (marco de lectura del proyecto documental): la síntesis cuantitativa se GENERA a partir del modelo de cálculo activo y se recalcula con cada cambio de datos, parámetros o fórmulas. ESTADO DE LA EVALUACIÓN: preliminar. El expediente documental presenta contradicciones críticas no resueltas que condicionan los resultados — la tasa de cambio 24 frente a 120 (C-01) es determinante: a los precios reales de lista y al costo real de los insumos cotizados, el margen operativo del modelo es negativo, mientras que el modelo del expediente (que valora los insumos a la tasa 24) reporta utilidades; la decisión cambiaria corresponde al promotor con sustento normativo. Adicionalmente, la depreciación del estado de resultados del expediente está mal cargada (C-06), los salarios tienen tres versiones incompatibles (C-07), la capacidad instalada no está estudiada (B-10) y no existe estudio de mercado (B-24). Ninguna cifra del expediente se presenta como validada; la lectura de la inversión, los ingresos, la utilidad, la recuperación, los dividendos y los beneficios directos al país debe hacerse sobre el modelo activo y la sección «Expediente documental», no sobre los indicadores del anexo del expediente (C-02). Antes de cualquier presentación oficial deben resolverse las brechas bloqueantes (B-06, B-16, B-24) y las validaciones normativas (V-01 a V-08).</v>
      </c>
    </row>
  </sheetData>
  <ignoredErrors>
    <ignoredError numberStoredAsText="1" sqref="A1:B30"/>
  </ignoredErrors>
</worksheet>
</file>

<file path=xl/worksheets/sheet21.xml><?xml version="1.0" encoding="utf-8"?>
<worksheet xmlns="http://schemas.openxmlformats.org/spreadsheetml/2006/main" xmlns:r="http://schemas.openxmlformats.org/officeDocument/2006/relationships">
  <dimension ref="A1:I57"/>
  <sheetViews>
    <sheetView workbookViewId="0"/>
  </sheetViews>
  <cols>
    <col min="1" max="1" width="26.83203125" customWidth="1"/>
    <col min="2" max="2" width="34.83203125" customWidth="1"/>
    <col min="3" max="3" width="20.83203125" customWidth="1"/>
    <col min="4" max="4" width="10.83203125" customWidth="1"/>
    <col min="5" max="5" width="12.83203125" customWidth="1"/>
    <col min="6" max="6" width="11.83203125" customWidth="1"/>
    <col min="7" max="7" width="90.83203125" customWidth="1"/>
    <col min="8" max="8" width="90.83203125" customWidth="1"/>
    <col min="9" max="9" width="24.83203125" customWidth="1"/>
  </cols>
  <sheetData>
    <row r="1">
      <c r="A1" s="3" t="str">
        <v>Configuración de cálculos — reglas activas (Nivel B)</v>
      </c>
    </row>
    <row r="3">
      <c r="A3" s="26" t="str">
        <v>ID</v>
      </c>
      <c r="B3" s="26" t="str">
        <v>Nombre</v>
      </c>
      <c r="C3" s="26" t="str">
        <v>Categoría</v>
      </c>
      <c r="D3" s="26" t="str">
        <v>Ámbito</v>
      </c>
      <c r="E3" s="26" t="str">
        <v>Unidad</v>
      </c>
      <c r="F3" s="26" t="str">
        <v>Habilitada</v>
      </c>
      <c r="G3" s="26" t="str">
        <v>Expresión activa (motor PLANEX)</v>
      </c>
      <c r="H3" s="26" t="str">
        <v>Equivalente Excel (año 1)</v>
      </c>
      <c r="I3" s="26" t="str">
        <v>Estado</v>
      </c>
    </row>
    <row r="4">
      <c r="A4" s="2" t="str">
        <v>srv_precio_proy</v>
      </c>
      <c r="B4" s="2" t="str">
        <v>Precio proyectado del servicio</v>
      </c>
      <c r="C4" s="2" t="str">
        <v>Servicios</v>
      </c>
      <c r="D4" s="2" t="str">
        <v>servicio</v>
      </c>
      <c r="E4" s="2" t="str">
        <v>USD/servicio</v>
      </c>
      <c r="F4" s="2" t="str">
        <v>Sí</v>
      </c>
      <c r="G4" s="2" t="str">
        <v>precio_base * (1 + crecimiento_precios) ^ MAX(0, PERIODO - 1)</v>
      </c>
      <c r="H4" s="2" t="str">
        <v>=(C4*((1+Parametros!$C$10)^MAX(0,($A4-1))))</v>
      </c>
      <c r="I4" s="2" t="str">
        <v>TRADUCIDA</v>
      </c>
    </row>
    <row r="5">
      <c r="A5" s="2" t="str">
        <v>srv_cantidad_mensual_proy</v>
      </c>
      <c r="B5" s="2" t="str">
        <v>Demanda mensual prevista</v>
      </c>
      <c r="C5" s="2" t="str">
        <v>Servicios</v>
      </c>
      <c r="D5" s="2" t="str">
        <v>servicio</v>
      </c>
      <c r="E5" s="2" t="str">
        <v>servicios/mes</v>
      </c>
      <c r="F5" s="2" t="str">
        <v>Sí</v>
      </c>
      <c r="G5" s="2" t="str">
        <v>IF(PERIODO &gt;= anio_inicio_demanda, cantidad_base_mensual * (1 + crecimiento_volumen) ^ MAX(0, PERIODO - anio_inicio_demanda), 0)</v>
      </c>
      <c r="H5" s="2" t="str">
        <v>=IF(($A4&gt;=Q4),(D4*((1+Parametros!$C$11)^MAX(0,($A4-Q4)))),0)</v>
      </c>
      <c r="I5" s="2" t="str">
        <v>TRADUCIDA</v>
      </c>
    </row>
    <row r="6">
      <c r="A6" s="2" t="str">
        <v>srv_costo_unitario_proy</v>
      </c>
      <c r="B6" s="2" t="str">
        <v>Costo variable unitario proyectado</v>
      </c>
      <c r="C6" s="2" t="str">
        <v>Servicios</v>
      </c>
      <c r="D6" s="2" t="str">
        <v>servicio</v>
      </c>
      <c r="E6" s="2" t="str">
        <v>USD/servicio</v>
      </c>
      <c r="F6" s="2" t="str">
        <v>Sí</v>
      </c>
      <c r="G6" s="2" t="str">
        <v>costo_variable_unitario * (1 + inflacion) ^ MAX(0, PERIODO - 1)</v>
      </c>
      <c r="H6" s="2" t="str">
        <v>=(F4*((1+Parametros!$C$8)^MAX(0,($A4-1))))</v>
      </c>
      <c r="I6" s="2" t="str">
        <v>TRADUCIDA</v>
      </c>
    </row>
    <row r="7">
      <c r="A7" s="2" t="str">
        <v>srv_cantidad_real_mensual</v>
      </c>
      <c r="B7" s="2" t="str">
        <v>Cantidad realizable mensual (limitada por capacidad)</v>
      </c>
      <c r="C7" s="2" t="str">
        <v>Servicios</v>
      </c>
      <c r="D7" s="2" t="str">
        <v>servicio</v>
      </c>
      <c r="E7" s="2" t="str">
        <v>servicios/mes</v>
      </c>
      <c r="F7" s="2" t="str">
        <v>Sí</v>
      </c>
      <c r="G7" s="2" t="str">
        <v>mtr_cantidad_real_mensual</v>
      </c>
      <c r="H7" s="2" t="str">
        <v>=Capacidad!$E$4</v>
      </c>
      <c r="I7" s="2" t="str">
        <v>TRADUCIDA</v>
      </c>
    </row>
    <row r="8">
      <c r="A8" s="2" t="str">
        <v>srv_cantidad_anual</v>
      </c>
      <c r="B8" s="2" t="str">
        <v>Cantidad anual de servicios</v>
      </c>
      <c r="C8" s="2" t="str">
        <v>Servicios</v>
      </c>
      <c r="D8" s="2" t="str">
        <v>servicio</v>
      </c>
      <c r="E8" s="2" t="str">
        <v>servicios/año</v>
      </c>
      <c r="F8" s="2" t="str">
        <v>Sí</v>
      </c>
      <c r="G8" s="2" t="str">
        <v>srv_cantidad_real_mensual * MESES_ANIO</v>
      </c>
      <c r="H8" s="2" t="str">
        <v>=(I4*12)</v>
      </c>
      <c r="I8" s="2" t="str">
        <v>TRADUCIDA</v>
      </c>
    </row>
    <row r="9">
      <c r="A9" s="2" t="str">
        <v>srv_ingreso_anual</v>
      </c>
      <c r="B9" s="2" t="str">
        <v>Ingreso anual por servicio</v>
      </c>
      <c r="C9" s="2" t="str">
        <v>Ingresos</v>
      </c>
      <c r="D9" s="2" t="str">
        <v>servicio</v>
      </c>
      <c r="E9" s="2" t="str">
        <v>USD/año</v>
      </c>
      <c r="F9" s="2" t="str">
        <v>Sí</v>
      </c>
      <c r="G9" s="2" t="str">
        <v>srv_precio_proy * srv_cantidad_anual</v>
      </c>
      <c r="H9" s="2" t="str">
        <v>=(G4*J4)</v>
      </c>
      <c r="I9" s="2" t="str">
        <v>TRADUCIDA</v>
      </c>
    </row>
    <row r="10">
      <c r="A10" s="2" t="str">
        <v>srv_costo_variable_total</v>
      </c>
      <c r="B10" s="2" t="str">
        <v>Costo variable total del servicio</v>
      </c>
      <c r="C10" s="2" t="str">
        <v>Costos</v>
      </c>
      <c r="D10" s="2" t="str">
        <v>servicio</v>
      </c>
      <c r="E10" s="2" t="str">
        <v>USD/año</v>
      </c>
      <c r="F10" s="2" t="str">
        <v>Sí</v>
      </c>
      <c r="G10" s="2" t="str">
        <v>srv_costo_unitario_proy * srv_cantidad_anual</v>
      </c>
      <c r="H10" s="2" t="str">
        <v>=(K4*J4)</v>
      </c>
      <c r="I10" s="2" t="str">
        <v>TRADUCIDA</v>
      </c>
    </row>
    <row r="11">
      <c r="A11" s="2" t="str">
        <v>srv_margen_contribucion</v>
      </c>
      <c r="B11" s="2" t="str">
        <v>Margen de contribución del servicio</v>
      </c>
      <c r="C11" s="2" t="str">
        <v>Servicios</v>
      </c>
      <c r="D11" s="2" t="str">
        <v>servicio</v>
      </c>
      <c r="E11" s="2" t="str">
        <v>USD/año</v>
      </c>
      <c r="F11" s="2" t="str">
        <v>Sí</v>
      </c>
      <c r="G11" s="2" t="str">
        <v>srv_ingreso_anual - srv_costo_variable_total</v>
      </c>
      <c r="H11" s="2" t="str">
        <v>=(L4-M4)</v>
      </c>
      <c r="I11" s="2" t="str">
        <v>TRADUCIDA</v>
      </c>
    </row>
    <row r="12">
      <c r="A12" s="2" t="str">
        <v>salario_anual_proy</v>
      </c>
      <c r="B12" s="2" t="str">
        <v>Salario anual proyectado</v>
      </c>
      <c r="C12" s="2" t="str">
        <v>Personal</v>
      </c>
      <c r="D12" s="2" t="str">
        <v>personal</v>
      </c>
      <c r="E12" s="2" t="str">
        <v>CUP/año</v>
      </c>
      <c r="F12" s="2" t="str">
        <v>Sí</v>
      </c>
      <c r="G12" s="2" t="str">
        <v>salario_promedio_anual * (1 + crecimiento_salarios) ^ MAX(0, PERIODO - 1)</v>
      </c>
      <c r="H12" s="2" t="str">
        <v>=(E4*((1+Parametros!$C$12)^MAX(0,($A4-1))))</v>
      </c>
      <c r="I12" s="2" t="str">
        <v>TRADUCIDA</v>
      </c>
    </row>
    <row r="13">
      <c r="A13" s="2" t="str">
        <v>gastos_previos_k</v>
      </c>
      <c r="B13" s="2" t="str">
        <v>Gastos previos (USD)</v>
      </c>
      <c r="C13" s="2" t="str">
        <v>Inversión y financiación</v>
      </c>
      <c r="D13" s="2" t="str">
        <v>proyecto</v>
      </c>
      <c r="E13" s="2" t="str">
        <v>kUSD</v>
      </c>
      <c r="F13" s="2" t="str">
        <v>Sí</v>
      </c>
      <c r="G13" s="2" t="str">
        <v>SUMA_INVERSIONES(IF(AND(categoria_inv = "gastos_previos", moneda_inv = "USD"), monto_inv, 0)) + SUMA_INVERSIONES(IF(AND(categoria_inv = "gastos_previos", moneda_inv = "CUP"), monto_inv, 0)) / tipo_cambio</v>
      </c>
      <c r="H13" s="2" t="str">
        <v>=(SUMIFS(Inversion!$D$4:$D$10,Inversion!$B$4:$B$10,"gastos_previos",Inversion!$C$4:$C$10,"USD")+(SUMIFS(Inversion!$D$4:$D$10,Inversion!$B$4:$B$10,"gastos_previos",Inversion!$C$4:$C$10,"CUP")/Parametros!$C$4))</v>
      </c>
      <c r="I13" s="2" t="str">
        <v>TRADUCIDA</v>
      </c>
    </row>
    <row r="14">
      <c r="A14" s="2" t="str">
        <v>inversion_fija_usd_k</v>
      </c>
      <c r="B14" s="2" t="str">
        <v>Inversión fija en USD</v>
      </c>
      <c r="C14" s="2" t="str">
        <v>Inversión y financiación</v>
      </c>
      <c r="D14" s="2" t="str">
        <v>proyecto</v>
      </c>
      <c r="E14" s="2" t="str">
        <v>kUSD</v>
      </c>
      <c r="F14" s="2" t="str">
        <v>Sí</v>
      </c>
      <c r="G14" s="2" t="str">
        <v>SUMA_INVERSIONES(IF(AND(categoria_inv = "inversion_fija", moneda_inv = "USD"), monto_inv, 0))</v>
      </c>
      <c r="H14" s="2" t="str">
        <v>=SUMIFS(Inversion!$D$4:$D$10,Inversion!$B$4:$B$10,"inversion_fija",Inversion!$C$4:$C$10,"USD")</v>
      </c>
      <c r="I14" s="2" t="str">
        <v>TRADUCIDA</v>
      </c>
    </row>
    <row r="15">
      <c r="A15" s="2" t="str">
        <v>inversion_fija_cup_k</v>
      </c>
      <c r="B15" s="2" t="str">
        <v>Inversión fija en CUP convertida</v>
      </c>
      <c r="C15" s="2" t="str">
        <v>Inversión y financiación</v>
      </c>
      <c r="D15" s="2" t="str">
        <v>proyecto</v>
      </c>
      <c r="E15" s="2" t="str">
        <v>kUSD</v>
      </c>
      <c r="F15" s="2" t="str">
        <v>Sí</v>
      </c>
      <c r="G15" s="2" t="str">
        <v>SUMA_INVERSIONES(IF(AND(categoria_inv = "inversion_fija", moneda_inv = "CUP"), monto_inv, 0)) / tipo_cambio</v>
      </c>
      <c r="H15" s="2" t="str">
        <v>=(SUMIFS(Inversion!$D$4:$D$10,Inversion!$B$4:$B$10,"inversion_fija",Inversion!$C$4:$C$10,"CUP")/Parametros!$C$4)</v>
      </c>
      <c r="I15" s="2" t="str">
        <v>TRADUCIDA</v>
      </c>
    </row>
    <row r="16">
      <c r="A16" s="2" t="str">
        <v>inversion_fija_k</v>
      </c>
      <c r="B16" s="2" t="str">
        <v>Inversión fija total</v>
      </c>
      <c r="C16" s="2" t="str">
        <v>Inversión y financiación</v>
      </c>
      <c r="D16" s="2" t="str">
        <v>proyecto</v>
      </c>
      <c r="E16" s="2" t="str">
        <v>kUSD</v>
      </c>
      <c r="F16" s="2" t="str">
        <v>Sí</v>
      </c>
      <c r="G16" s="2" t="str">
        <v>inversion_fija_usd_k + inversion_fija_cup_k</v>
      </c>
      <c r="H16" s="2" t="str">
        <v>=(Parametros!$C$2+Parametros!$C$2)</v>
      </c>
      <c r="I16" s="2" t="str">
        <v>TRADUCIDA</v>
      </c>
    </row>
    <row r="17">
      <c r="A17" s="2" t="str">
        <v>inversion_total_k</v>
      </c>
      <c r="B17" s="2" t="str">
        <v>Costo total de la inversión inicial</v>
      </c>
      <c r="C17" s="2" t="str">
        <v>Inversión y financiación</v>
      </c>
      <c r="D17" s="2" t="str">
        <v>proyecto</v>
      </c>
      <c r="E17" s="2" t="str">
        <v>kUSD</v>
      </c>
      <c r="F17" s="2" t="str">
        <v>Sí</v>
      </c>
      <c r="G17" s="2" t="str">
        <v>gastos_previos_k + inversion_fija_k + capital_trabajo_k</v>
      </c>
      <c r="H17" s="2" t="str">
        <v>=((Parametros!$C$2+Parametros!$C$2)+Parametros!$C$25)</v>
      </c>
      <c r="I17" s="2" t="str">
        <v>TRADUCIDA</v>
      </c>
    </row>
    <row r="18">
      <c r="A18" s="2" t="str">
        <v>aportaciones_total_k</v>
      </c>
      <c r="B18" s="2" t="str">
        <v>Total de aportaciones de los socios</v>
      </c>
      <c r="C18" s="2" t="str">
        <v>Inversión y financiación</v>
      </c>
      <c r="D18" s="2" t="str">
        <v>proyecto</v>
      </c>
      <c r="E18" s="2" t="str">
        <v>kUSD</v>
      </c>
      <c r="F18" s="2" t="str">
        <v>Sí</v>
      </c>
      <c r="G18" s="2" t="str">
        <v>SUMA_APORTACIONES(monto_aportacion)</v>
      </c>
      <c r="H18" s="2" t="str">
        <v>=SUM(Aportaciones!$F$4:$F$6)</v>
      </c>
      <c r="I18" s="2" t="str">
        <v>TRADUCIDA</v>
      </c>
    </row>
    <row r="19">
      <c r="A19" s="2" t="str">
        <v>financiacion_disponible_k</v>
      </c>
      <c r="B19" s="2" t="str">
        <v>Financiación disponible</v>
      </c>
      <c r="C19" s="2" t="str">
        <v>Inversión y financiación</v>
      </c>
      <c r="D19" s="2" t="str">
        <v>proyecto</v>
      </c>
      <c r="E19" s="2" t="str">
        <v>kUSD</v>
      </c>
      <c r="F19" s="2" t="str">
        <v>Sí</v>
      </c>
      <c r="G19" s="2" t="str">
        <v>aportaciones_total_k + otras_fuentes_k + credito_monto_k</v>
      </c>
      <c r="H19" s="2" t="str">
        <v>=((Parametros!$C$2+Parametros!$C$24)+Parametros!$C$23)</v>
      </c>
      <c r="I19" s="2" t="str">
        <v>TRADUCIDA</v>
      </c>
    </row>
    <row r="20">
      <c r="A20" s="2" t="str">
        <v>necesidad_financiacion_k</v>
      </c>
      <c r="B20" s="2" t="str">
        <v>Necesidad de financiación</v>
      </c>
      <c r="C20" s="2" t="str">
        <v>Inversión y financiación</v>
      </c>
      <c r="D20" s="2" t="str">
        <v>proyecto</v>
      </c>
      <c r="E20" s="2" t="str">
        <v>kUSD</v>
      </c>
      <c r="F20" s="2" t="str">
        <v>Sí</v>
      </c>
      <c r="G20" s="2" t="str">
        <v>inversion_total_k - aportaciones_total_k - otras_fuentes_k</v>
      </c>
      <c r="H20" s="2" t="str">
        <v>=((Parametros!$C$2-Parametros!$C$2)-Parametros!$C$24)</v>
      </c>
      <c r="I20" s="2" t="str">
        <v>TRADUCIDA</v>
      </c>
    </row>
    <row r="21">
      <c r="A21" s="2" t="str">
        <v>diferencia_financiacion_k</v>
      </c>
      <c r="B21" s="2" t="str">
        <v>Diferencia de financiación</v>
      </c>
      <c r="C21" s="2" t="str">
        <v>Inversión y financiación</v>
      </c>
      <c r="D21" s="2" t="str">
        <v>proyecto</v>
      </c>
      <c r="E21" s="2" t="str">
        <v>kUSD</v>
      </c>
      <c r="F21" s="2" t="str">
        <v>Sí</v>
      </c>
      <c r="G21" s="2" t="str">
        <v>financiacion_disponible_k - inversion_total_k</v>
      </c>
      <c r="H21" s="2" t="str">
        <v>=(Parametros!$C$2-Parametros!$C$2)</v>
      </c>
      <c r="I21" s="2" t="str">
        <v>TRADUCIDA</v>
      </c>
    </row>
    <row r="22">
      <c r="A22" s="2" t="str">
        <v>ingresos_servicios_usd</v>
      </c>
      <c r="B22" s="2" t="str">
        <v>Ingresos por servicios (USD)</v>
      </c>
      <c r="C22" s="2" t="str">
        <v>Ingresos</v>
      </c>
      <c r="D22" s="2" t="str">
        <v>anio</v>
      </c>
      <c r="E22" s="2" t="str">
        <v>USD</v>
      </c>
      <c r="F22" s="2" t="str">
        <v>Sí</v>
      </c>
      <c r="G22" s="2" t="str">
        <v>SUMA_SERVICIOS(srv_ingreso_anual)</v>
      </c>
      <c r="H22" s="2" t="str">
        <v>=SUMIFS(Servicios!$L$4:$L$153,Servicios!$A$4:$A$153,D$3)</v>
      </c>
      <c r="I22" s="2" t="str">
        <v>TRADUCIDA</v>
      </c>
    </row>
    <row r="23">
      <c r="A23" s="2" t="str">
        <v>ingresos_servicios_k</v>
      </c>
      <c r="B23" s="2" t="str">
        <v>Ingresos por servicios</v>
      </c>
      <c r="C23" s="2" t="str">
        <v>Ingresos</v>
      </c>
      <c r="D23" s="2" t="str">
        <v>anio</v>
      </c>
      <c r="E23" s="2" t="str">
        <v>kUSD</v>
      </c>
      <c r="F23" s="2" t="str">
        <v>Sí</v>
      </c>
      <c r="G23" s="2" t="str">
        <v>ingresos_servicios_usd / 1000</v>
      </c>
      <c r="H23" s="2" t="str">
        <v>=(D$4/1000)</v>
      </c>
      <c r="I23" s="2" t="str">
        <v>TRADUCIDA</v>
      </c>
    </row>
    <row r="24">
      <c r="A24" s="2" t="str">
        <v>ingresos_totales_k</v>
      </c>
      <c r="B24" s="2" t="str">
        <v>Ingresos totales</v>
      </c>
      <c r="C24" s="2" t="str">
        <v>Ingresos</v>
      </c>
      <c r="D24" s="2" t="str">
        <v>anio</v>
      </c>
      <c r="E24" s="2" t="str">
        <v>kUSD</v>
      </c>
      <c r="F24" s="2" t="str">
        <v>Sí</v>
      </c>
      <c r="G24" s="2" t="str">
        <v>ingresos_servicios_k + otros_ingresos_serie</v>
      </c>
      <c r="H24" s="2" t="str">
        <v>=(D$5+D$6)</v>
      </c>
      <c r="I24" s="2" t="str">
        <v>TRADUCIDA</v>
      </c>
    </row>
    <row r="25">
      <c r="A25" s="2" t="str">
        <v>costos_variables_usd</v>
      </c>
      <c r="B25" s="2" t="str">
        <v>Costos variables (USD)</v>
      </c>
      <c r="C25" s="2" t="str">
        <v>Costos</v>
      </c>
      <c r="D25" s="2" t="str">
        <v>anio</v>
      </c>
      <c r="E25" s="2" t="str">
        <v>USD</v>
      </c>
      <c r="F25" s="2" t="str">
        <v>Sí</v>
      </c>
      <c r="G25" s="2" t="str">
        <v>SUMA_SERVICIOS(srv_costo_variable_total)</v>
      </c>
      <c r="H25" s="2" t="str">
        <v>=SUMIFS(Servicios!$M$4:$M$153,Servicios!$A$4:$A$153,D$3)</v>
      </c>
      <c r="I25" s="2" t="str">
        <v>TRADUCIDA</v>
      </c>
    </row>
    <row r="26">
      <c r="A26" s="2" t="str">
        <v>costos_variables_k</v>
      </c>
      <c r="B26" s="2" t="str">
        <v>Costos variables</v>
      </c>
      <c r="C26" s="2" t="str">
        <v>Costos</v>
      </c>
      <c r="D26" s="2" t="str">
        <v>anio</v>
      </c>
      <c r="E26" s="2" t="str">
        <v>kUSD</v>
      </c>
      <c r="F26" s="2" t="str">
        <v>Sí</v>
      </c>
      <c r="G26" s="2" t="str">
        <v>costos_variables_usd / 1000</v>
      </c>
      <c r="H26" s="2" t="str">
        <v>=(D$8/1000)</v>
      </c>
      <c r="I26" s="2" t="str">
        <v>TRADUCIDA</v>
      </c>
    </row>
    <row r="27">
      <c r="A27" s="2" t="str">
        <v>costo_laboral_cup</v>
      </c>
      <c r="B27" s="2" t="str">
        <v>Costo laboral en CUP</v>
      </c>
      <c r="C27" s="2" t="str">
        <v>Costos</v>
      </c>
      <c r="D27" s="2" t="str">
        <v>anio</v>
      </c>
      <c r="E27" s="2" t="str">
        <v>CUP</v>
      </c>
      <c r="F27" s="2" t="str">
        <v>Sí</v>
      </c>
      <c r="G27" s="2" t="str">
        <v>SUMA_PERSONAL(cantidad * salario_anual_proy) * factor_costo_laboral</v>
      </c>
      <c r="H27" s="2" t="str">
        <v>=(SUMPRODUCT((Personal!$A$4:$A$53=D$3)*$D$4:$D$53*$F$4:$F$53)*Parametros!$C$15)</v>
      </c>
      <c r="I27" s="2" t="str">
        <v>TRADUCIDA</v>
      </c>
    </row>
    <row r="28">
      <c r="A28" s="2" t="str">
        <v>costo_laboral_k</v>
      </c>
      <c r="B28" s="2" t="str">
        <v>Costo laboral</v>
      </c>
      <c r="C28" s="2" t="str">
        <v>Costos</v>
      </c>
      <c r="D28" s="2" t="str">
        <v>anio</v>
      </c>
      <c r="E28" s="2" t="str">
        <v>kUSD</v>
      </c>
      <c r="F28" s="2" t="str">
        <v>Sí</v>
      </c>
      <c r="G28" s="2" t="str">
        <v>costo_laboral_cup / tipo_cambio / 1000</v>
      </c>
      <c r="H28" s="2" t="str">
        <v>=((D$10/Parametros!$C$4)/1000)</v>
      </c>
      <c r="I28" s="2" t="str">
        <v>TRADUCIDA</v>
      </c>
    </row>
    <row r="29">
      <c r="A29" s="2" t="str">
        <v>canon_k</v>
      </c>
      <c r="B29" s="2" t="str">
        <v>Canon (años de operación)</v>
      </c>
      <c r="C29" s="2" t="str">
        <v>Costos</v>
      </c>
      <c r="D29" s="2" t="str">
        <v>anio</v>
      </c>
      <c r="E29" s="2" t="str">
        <v>kUSD</v>
      </c>
      <c r="F29" s="2" t="str">
        <v>Sí</v>
      </c>
      <c r="G29" s="2" t="str">
        <v>IF(PERIODO &gt;= 1, canon_anual_k * (1 + inflacion_costos_fijos) ^ MAX(0, PERIODO - 1), 0)</v>
      </c>
      <c r="H29" s="2" t="str">
        <v>=IF((D$3&gt;=1),(Parametros!$C$21*((1+Parametros!$C$9)^MAX(0,(D$3-1)))),0)</v>
      </c>
      <c r="I29" s="2" t="str">
        <v>TRADUCIDA</v>
      </c>
    </row>
    <row r="30">
      <c r="A30" s="2" t="str">
        <v>servicios_publicos_k</v>
      </c>
      <c r="B30" s="2" t="str">
        <v>Servicios públicos (años de operación)</v>
      </c>
      <c r="C30" s="2" t="str">
        <v>Costos</v>
      </c>
      <c r="D30" s="2" t="str">
        <v>anio</v>
      </c>
      <c r="E30" s="2" t="str">
        <v>kUSD</v>
      </c>
      <c r="F30" s="2" t="str">
        <v>Sí</v>
      </c>
      <c r="G30" s="2" t="str">
        <v>IF(PERIODO &gt;= 1, servicios_publicos_anual_k * (1 + inflacion_costos_fijos) ^ MAX(0, PERIODO - 1), 0)</v>
      </c>
      <c r="H30" s="2" t="str">
        <v>=IF((D$3&gt;=1),(Parametros!$C$20*((1+Parametros!$C$9)^MAX(0,(D$3-1)))),0)</v>
      </c>
      <c r="I30" s="2" t="str">
        <v>TRADUCIDA</v>
      </c>
    </row>
    <row r="31">
      <c r="A31" s="2" t="str">
        <v>otros_gastos_k</v>
      </c>
      <c r="B31" s="2" t="str">
        <v>Otros gastos fijos (años de operación)</v>
      </c>
      <c r="C31" s="2" t="str">
        <v>Costos</v>
      </c>
      <c r="D31" s="2" t="str">
        <v>anio</v>
      </c>
      <c r="E31" s="2" t="str">
        <v>kUSD</v>
      </c>
      <c r="F31" s="2" t="str">
        <v>Sí</v>
      </c>
      <c r="G31" s="2" t="str">
        <v>IF(PERIODO &gt;= 1, otros_gastos_fijos_k * (1 + inflacion_costos_fijos) ^ MAX(0, PERIODO - 1), 0)</v>
      </c>
      <c r="H31" s="2" t="str">
        <v>=IF((D$3&gt;=1),(Parametros!$C$22*((1+Parametros!$C$9)^MAX(0,(D$3-1)))),0)</v>
      </c>
      <c r="I31" s="2" t="str">
        <v>TRADUCIDA</v>
      </c>
    </row>
    <row r="32">
      <c r="A32" s="2" t="str">
        <v>mantenimiento_k</v>
      </c>
      <c r="B32" s="2" t="str">
        <v>Mantenimiento (años de operación)</v>
      </c>
      <c r="C32" s="2" t="str">
        <v>Costos</v>
      </c>
      <c r="D32" s="2" t="str">
        <v>anio</v>
      </c>
      <c r="E32" s="2" t="str">
        <v>kUSD</v>
      </c>
      <c r="F32" s="2" t="str">
        <v>Sí</v>
      </c>
      <c r="G32" s="2" t="str">
        <v>IF(PERIODO &gt;= 1, pct_mantenimiento * inversion_fija_k, 0)</v>
      </c>
      <c r="H32" s="2" t="str">
        <v>=IF((D$3&gt;=1),(Parametros!$C$14*Parametros!$C$2),0)</v>
      </c>
      <c r="I32" s="2" t="str">
        <v>TRADUCIDA</v>
      </c>
    </row>
    <row r="33">
      <c r="A33" s="2" t="str">
        <v>gastos_admin_k</v>
      </c>
      <c r="B33" s="2" t="str">
        <v>Gastos administrativos</v>
      </c>
      <c r="C33" s="2" t="str">
        <v>Costos</v>
      </c>
      <c r="D33" s="2" t="str">
        <v>anio</v>
      </c>
      <c r="E33" s="2" t="str">
        <v>kUSD</v>
      </c>
      <c r="F33" s="2" t="str">
        <v>Sí</v>
      </c>
      <c r="G33" s="2" t="str">
        <v>pct_gastos_admin * ingresos_totales_k</v>
      </c>
      <c r="H33" s="2" t="str">
        <v>=(Parametros!$C$13*D$7)</v>
      </c>
      <c r="I33" s="2" t="str">
        <v>TRADUCIDA</v>
      </c>
    </row>
    <row r="34">
      <c r="A34" s="2" t="str">
        <v>depreciacion_anual_k</v>
      </c>
      <c r="B34" s="2" t="str">
        <v>Depreciación anual (calendario por activo)</v>
      </c>
      <c r="C34" s="2" t="str">
        <v>Costos</v>
      </c>
      <c r="D34" s="2" t="str">
        <v>anio</v>
      </c>
      <c r="E34" s="2" t="str">
        <v>kUSD</v>
      </c>
      <c r="F34" s="2" t="str">
        <v>Sí</v>
      </c>
      <c r="G34" s="2" t="str">
        <v>mtr_depreciacion_k</v>
      </c>
      <c r="H34" s="2" t="str">
        <v>=Depreciacion!J$9</v>
      </c>
      <c r="I34" s="2" t="str">
        <v>TRADUCIDA</v>
      </c>
    </row>
    <row r="35">
      <c r="A35" s="2" t="str">
        <v>interes_k</v>
      </c>
      <c r="B35" s="2" t="str">
        <v>Intereses del crédito (gasto devengado)</v>
      </c>
      <c r="C35" s="2" t="str">
        <v>Costos</v>
      </c>
      <c r="D35" s="2" t="str">
        <v>anio</v>
      </c>
      <c r="E35" s="2" t="str">
        <v>kUSD</v>
      </c>
      <c r="F35" s="2" t="str">
        <v>Sí</v>
      </c>
      <c r="G35" s="2" t="str">
        <v>mtr_interes_devengado_k</v>
      </c>
      <c r="H35" s="2" t="str">
        <v>=Deuda!$D$5</v>
      </c>
      <c r="I35" s="2" t="str">
        <v>TRADUCIDA</v>
      </c>
    </row>
    <row r="36">
      <c r="A36" s="2" t="str">
        <v>amortizacion_k</v>
      </c>
      <c r="B36" s="2" t="str">
        <v>Amortización del principal del crédito</v>
      </c>
      <c r="C36" s="2" t="str">
        <v>Inversión y financiación</v>
      </c>
      <c r="D36" s="2" t="str">
        <v>anio</v>
      </c>
      <c r="E36" s="2" t="str">
        <v>kUSD</v>
      </c>
      <c r="F36" s="2" t="str">
        <v>Sí</v>
      </c>
      <c r="G36" s="2" t="str">
        <v>mtr_amortizacion_k</v>
      </c>
      <c r="H36" s="2" t="str">
        <v>=Deuda!$F$5</v>
      </c>
      <c r="I36" s="2" t="str">
        <v>TRADUCIDA</v>
      </c>
    </row>
    <row r="37">
      <c r="A37" s="2" t="str">
        <v>saldo_deuda_k</v>
      </c>
      <c r="B37" s="2" t="str">
        <v>Saldo de la deuda al cierre</v>
      </c>
      <c r="C37" s="2" t="str">
        <v>Inversión y financiación</v>
      </c>
      <c r="D37" s="2" t="str">
        <v>anio</v>
      </c>
      <c r="E37" s="2" t="str">
        <v>kUSD</v>
      </c>
      <c r="F37" s="2" t="str">
        <v>Sí</v>
      </c>
      <c r="G37" s="2" t="str">
        <v>mtr_saldo_deuda_k</v>
      </c>
      <c r="H37" s="2" t="str">
        <v>=Deuda!$H$5</v>
      </c>
      <c r="I37" s="2" t="str">
        <v>TRADUCIDA</v>
      </c>
    </row>
    <row r="38">
      <c r="A38" s="2" t="str">
        <v>costos_totales_k</v>
      </c>
      <c r="B38" s="2" t="str">
        <v>Costos y gastos totales</v>
      </c>
      <c r="C38" s="2" t="str">
        <v>Costos</v>
      </c>
      <c r="D38" s="2" t="str">
        <v>anio</v>
      </c>
      <c r="E38" s="2" t="str">
        <v>kUSD</v>
      </c>
      <c r="F38" s="2" t="str">
        <v>Sí</v>
      </c>
      <c r="G38" s="2" t="str">
        <v>costos_variables_k + costo_laboral_k + canon_k + mantenimiento_k + servicios_publicos_k + gastos_admin_k + otros_gastos_k + depreciacion_anual_k + interes_k</v>
      </c>
      <c r="H38" s="2" t="str">
        <v>=((((((((D$9+D$11)+D$12)+D$13)+D$14)+D$15)+D$16)+D$17)+D$18)</v>
      </c>
      <c r="I38" s="2" t="str">
        <v>TRADUCIDA</v>
      </c>
    </row>
    <row r="39">
      <c r="A39" s="2" t="str">
        <v>utilidad_antes_impuestos_k</v>
      </c>
      <c r="B39" s="2" t="str">
        <v>Utilidad antes de impuestos</v>
      </c>
      <c r="C39" s="2" t="str">
        <v>Resultados</v>
      </c>
      <c r="D39" s="2" t="str">
        <v>anio</v>
      </c>
      <c r="E39" s="2" t="str">
        <v>kUSD</v>
      </c>
      <c r="F39" s="2" t="str">
        <v>Sí</v>
      </c>
      <c r="G39" s="2" t="str">
        <v>ingresos_totales_k - costos_totales_k</v>
      </c>
      <c r="H39" s="2" t="str">
        <v>=(D$7-D$21)</v>
      </c>
      <c r="I39" s="2" t="str">
        <v>TRADUCIDA</v>
      </c>
    </row>
    <row r="40">
      <c r="A40" s="2" t="str">
        <v>impuesto_utilidades_k</v>
      </c>
      <c r="B40" s="2" t="str">
        <v>Impuesto sobre utilidades (regla demostrativa)</v>
      </c>
      <c r="C40" s="2" t="str">
        <v>Resultados</v>
      </c>
      <c r="D40" s="2" t="str">
        <v>anio</v>
      </c>
      <c r="E40" s="2" t="str">
        <v>kUSD</v>
      </c>
      <c r="F40" s="2" t="str">
        <v>Sí</v>
      </c>
      <c r="G40" s="2" t="str">
        <v>IF(PERIODO &gt;= 8, MAX(0, utilidad_antes_impuestos_k * tasa_impuesto_utilidades), 0)</v>
      </c>
      <c r="H40" s="2" t="str">
        <v>=IF((D$3&gt;=8),MAX(0,(D$22*Parametros!$C$3)),0)</v>
      </c>
      <c r="I40" s="2" t="str">
        <v>TRADUCIDA</v>
      </c>
    </row>
    <row r="41">
      <c r="A41" s="2" t="str">
        <v>utilidad_despues_impuestos_k</v>
      </c>
      <c r="B41" s="2" t="str">
        <v>Utilidad después de impuestos</v>
      </c>
      <c r="C41" s="2" t="str">
        <v>Resultados</v>
      </c>
      <c r="D41" s="2" t="str">
        <v>anio</v>
      </c>
      <c r="E41" s="2" t="str">
        <v>kUSD</v>
      </c>
      <c r="F41" s="2" t="str">
        <v>Sí</v>
      </c>
      <c r="G41" s="2" t="str">
        <v>utilidad_antes_impuestos_k - impuesto_utilidades_k</v>
      </c>
      <c r="H41" s="2" t="str">
        <v>=(D$22-D$23)</v>
      </c>
      <c r="I41" s="2" t="str">
        <v>TRADUCIDA</v>
      </c>
    </row>
    <row r="42">
      <c r="A42" s="2" t="str">
        <v>flujo_proyecto_k</v>
      </c>
      <c r="B42" s="2" t="str">
        <v>Flujo de caja del PROYECTO (FCFF)</v>
      </c>
      <c r="C42" s="2" t="str">
        <v>Flujo de caja</v>
      </c>
      <c r="D42" s="2" t="str">
        <v>anio</v>
      </c>
      <c r="E42" s="2" t="str">
        <v>kUSD</v>
      </c>
      <c r="F42" s="2" t="str">
        <v>Sí</v>
      </c>
      <c r="G42" s="2" t="str">
        <v>mtr_fcff_k</v>
      </c>
      <c r="H42" s="2" t="str">
        <v>=FlujosCaja!C$4</v>
      </c>
      <c r="I42" s="2" t="str">
        <v>TRADUCIDA</v>
      </c>
    </row>
    <row r="43">
      <c r="A43" s="2" t="str">
        <v>flujo_acumulado_proyecto_k</v>
      </c>
      <c r="B43" s="2" t="str">
        <v>Flujo acumulado del proyecto</v>
      </c>
      <c r="C43" s="2" t="str">
        <v>Flujo de caja</v>
      </c>
      <c r="D43" s="2" t="str">
        <v>anio</v>
      </c>
      <c r="E43" s="2" t="str">
        <v>kUSD</v>
      </c>
      <c r="F43" s="2" t="str">
        <v>Sí</v>
      </c>
      <c r="G43" s="2" t="str">
        <v>IF(PERIODO = 0, flujo_proyecto_k, LAG(flujo_acumulado_proyecto_k, 1) + flujo_proyecto_k)</v>
      </c>
      <c r="H43" s="2" t="str">
        <v>=IF((D$3=0),D$25,(C$26+D$25))</v>
      </c>
      <c r="I43" s="2" t="str">
        <v>TRADUCIDA</v>
      </c>
    </row>
    <row r="44">
      <c r="A44" s="2" t="str">
        <v>saldo_pendiente_proyecto_k</v>
      </c>
      <c r="B44" s="2" t="str">
        <v>Saldo pendiente de recuperar (proyecto)</v>
      </c>
      <c r="C44" s="2" t="str">
        <v>Flujo de caja</v>
      </c>
      <c r="D44" s="2" t="str">
        <v>anio</v>
      </c>
      <c r="E44" s="2" t="str">
        <v>kUSD</v>
      </c>
      <c r="F44" s="2" t="str">
        <v>Sí</v>
      </c>
      <c r="G44" s="2" t="str">
        <v>MAX(0, -flujo_acumulado_proyecto_k)</v>
      </c>
      <c r="H44" s="2" t="str">
        <v>=MAX(0,(-D$26))</v>
      </c>
      <c r="I44" s="2" t="str">
        <v>TRADUCIDA</v>
      </c>
    </row>
    <row r="45">
      <c r="A45" s="2" t="str">
        <v>flujo_socios_k</v>
      </c>
      <c r="B45" s="2" t="str">
        <v>Flujo de caja de los SOCIOS (FCFE)</v>
      </c>
      <c r="C45" s="2" t="str">
        <v>Flujo de caja</v>
      </c>
      <c r="D45" s="2" t="str">
        <v>anio</v>
      </c>
      <c r="E45" s="2" t="str">
        <v>kUSD</v>
      </c>
      <c r="F45" s="2" t="str">
        <v>Sí</v>
      </c>
      <c r="G45" s="2" t="str">
        <v>mtr_fcfe_k</v>
      </c>
      <c r="H45" s="2" t="str">
        <v>=FlujosCaja!C$6</v>
      </c>
      <c r="I45" s="2" t="str">
        <v>TRADUCIDA</v>
      </c>
    </row>
    <row r="46">
      <c r="A46" s="2" t="str">
        <v>flujo_acumulado_socios_k</v>
      </c>
      <c r="B46" s="2" t="str">
        <v>Flujo acumulado de los socios</v>
      </c>
      <c r="C46" s="2" t="str">
        <v>Flujo de caja</v>
      </c>
      <c r="D46" s="2" t="str">
        <v>anio</v>
      </c>
      <c r="E46" s="2" t="str">
        <v>kUSD</v>
      </c>
      <c r="F46" s="2" t="str">
        <v>Sí</v>
      </c>
      <c r="G46" s="2" t="str">
        <v>IF(PERIODO = 0, flujo_socios_k, LAG(flujo_acumulado_socios_k, 1) + flujo_socios_k)</v>
      </c>
      <c r="H46" s="2" t="str">
        <v>=IF((D$3=0),D$28,(C$29+D$28))</v>
      </c>
      <c r="I46" s="2" t="str">
        <v>TRADUCIDA</v>
      </c>
    </row>
    <row r="47">
      <c r="A47" s="2" t="str">
        <v>saldo_pendiente_socios_k</v>
      </c>
      <c r="B47" s="2" t="str">
        <v>Saldo pendiente de recuperar (socios)</v>
      </c>
      <c r="C47" s="2" t="str">
        <v>Flujo de caja</v>
      </c>
      <c r="D47" s="2" t="str">
        <v>anio</v>
      </c>
      <c r="E47" s="2" t="str">
        <v>kUSD</v>
      </c>
      <c r="F47" s="2" t="str">
        <v>Sí</v>
      </c>
      <c r="G47" s="2" t="str">
        <v>MAX(0, -flujo_acumulado_socios_k)</v>
      </c>
      <c r="H47" s="2" t="str">
        <v>=MAX(0,(-D$29))</v>
      </c>
      <c r="I47" s="2" t="str">
        <v>TRADUCIDA</v>
      </c>
    </row>
    <row r="48">
      <c r="A48" s="2" t="str">
        <v>dividendos_pagables_k</v>
      </c>
      <c r="B48" s="2" t="str">
        <v>Dividendos pagables</v>
      </c>
      <c r="C48" s="2" t="str">
        <v>Beneficios al país</v>
      </c>
      <c r="D48" s="2" t="str">
        <v>anio</v>
      </c>
      <c r="E48" s="2" t="str">
        <v>kUSD</v>
      </c>
      <c r="F48" s="2" t="str">
        <v>Sí</v>
      </c>
      <c r="G48" s="2" t="str">
        <v>mtr_dividendos_pagables_k</v>
      </c>
      <c r="H48" s="2" t="str">
        <v>=Dividendos!C$11</v>
      </c>
      <c r="I48" s="2" t="str">
        <v>TRADUCIDA</v>
      </c>
    </row>
    <row r="49">
      <c r="A49" s="2" t="str">
        <v>dividendos_parte_cubana_k</v>
      </c>
      <c r="B49" s="2" t="str">
        <v>Dividendos de la parte cubana</v>
      </c>
      <c r="C49" s="2" t="str">
        <v>Beneficios al país</v>
      </c>
      <c r="D49" s="2" t="str">
        <v>anio</v>
      </c>
      <c r="E49" s="2" t="str">
        <v>kUSD</v>
      </c>
      <c r="F49" s="2" t="str">
        <v>Sí</v>
      </c>
      <c r="G49" s="2" t="str">
        <v>mtr_dividendos_nacional_k</v>
      </c>
      <c r="H49" s="2" t="str">
        <v>=Dividendos!C$12</v>
      </c>
      <c r="I49" s="2" t="str">
        <v>TRADUCIDA</v>
      </c>
    </row>
    <row r="50">
      <c r="A50" s="2" t="str">
        <v>pagos_fuerza_trabajo_k</v>
      </c>
      <c r="B50" s="2" t="str">
        <v>Pagos por la fuerza de trabajo</v>
      </c>
      <c r="C50" s="2" t="str">
        <v>Beneficios al país</v>
      </c>
      <c r="D50" s="2" t="str">
        <v>anio</v>
      </c>
      <c r="E50" s="2" t="str">
        <v>kUSD</v>
      </c>
      <c r="F50" s="2" t="str">
        <v>Sí</v>
      </c>
      <c r="G50" s="2" t="str">
        <v>costo_laboral_k</v>
      </c>
      <c r="H50" s="2" t="str">
        <v>=D$11</v>
      </c>
      <c r="I50" s="2" t="str">
        <v>TRADUCIDA</v>
      </c>
    </row>
    <row r="51">
      <c r="A51" s="2" t="str">
        <v>otros_impuestos_k</v>
      </c>
      <c r="B51" s="2" t="str">
        <v>Otros impuestos y tasas (años de operación)</v>
      </c>
      <c r="C51" s="2" t="str">
        <v>Beneficios al país</v>
      </c>
      <c r="D51" s="2" t="str">
        <v>anio</v>
      </c>
      <c r="E51" s="2" t="str">
        <v>kUSD</v>
      </c>
      <c r="F51" s="2" t="str">
        <v>Sí</v>
      </c>
      <c r="G51" s="2" t="str">
        <v>IF(PERIODO &gt;= 1, otros_impuestos_anual_k * (1 + inflacion_costos_fijos) ^ MAX(0, PERIODO - 1), 0)</v>
      </c>
      <c r="H51" s="2" t="str">
        <v>=IF((D$3&gt;=1),(Parametros!$C$27*((1+Parametros!$C$9)^MAX(0,(D$3-1)))),0)</v>
      </c>
      <c r="I51" s="2" t="str">
        <v>TRADUCIDA</v>
      </c>
    </row>
    <row r="52">
      <c r="A52" s="2" t="str">
        <v>aranceles_k</v>
      </c>
      <c r="B52" s="2" t="str">
        <v>Aranceles (años de operación)</v>
      </c>
      <c r="C52" s="2" t="str">
        <v>Beneficios al país</v>
      </c>
      <c r="D52" s="2" t="str">
        <v>anio</v>
      </c>
      <c r="E52" s="2" t="str">
        <v>kUSD</v>
      </c>
      <c r="F52" s="2" t="str">
        <v>Sí</v>
      </c>
      <c r="G52" s="2" t="str">
        <v>IF(PERIODO &gt;= 1, aranceles_anual_k * (1 + inflacion_costos_fijos) ^ MAX(0, PERIODO - 1), 0)</v>
      </c>
      <c r="H52" s="2" t="str">
        <v>=IF((D$3&gt;=1),(Parametros!$C$26*((1+Parametros!$C$9)^MAX(0,(D$3-1)))),0)</v>
      </c>
      <c r="I52" s="2" t="str">
        <v>TRADUCIDA</v>
      </c>
    </row>
    <row r="53">
      <c r="A53" s="2" t="str">
        <v>royalties_k</v>
      </c>
      <c r="B53" s="2" t="str">
        <v>Royalties (años de operación)</v>
      </c>
      <c r="C53" s="2" t="str">
        <v>Beneficios al país</v>
      </c>
      <c r="D53" s="2" t="str">
        <v>anio</v>
      </c>
      <c r="E53" s="2" t="str">
        <v>kUSD</v>
      </c>
      <c r="F53" s="2" t="str">
        <v>Sí</v>
      </c>
      <c r="G53" s="2" t="str">
        <v>IF(PERIODO &gt;= 1, royalties_anual_k * (1 + inflacion_costos_fijos) ^ MAX(0, PERIODO - 1), 0)</v>
      </c>
      <c r="H53" s="2" t="str">
        <v>=IF((D$3&gt;=1),(Parametros!$C$28*((1+Parametros!$C$9)^MAX(0,(D$3-1)))),0)</v>
      </c>
      <c r="I53" s="2" t="str">
        <v>TRADUCIDA</v>
      </c>
    </row>
    <row r="54">
      <c r="A54" s="2" t="str">
        <v>otros_beneficios_pais_k</v>
      </c>
      <c r="B54" s="2" t="str">
        <v>Otros ingresos al país (años de operación)</v>
      </c>
      <c r="C54" s="2" t="str">
        <v>Beneficios al país</v>
      </c>
      <c r="D54" s="2" t="str">
        <v>anio</v>
      </c>
      <c r="E54" s="2" t="str">
        <v>kUSD</v>
      </c>
      <c r="F54" s="2" t="str">
        <v>Sí</v>
      </c>
      <c r="G54" s="2" t="str">
        <v>IF(PERIODO &gt;= 1, otros_beneficios_pais_anual_k, 0)</v>
      </c>
      <c r="H54" s="2" t="str">
        <v>=IF((D$3&gt;=1),Parametros!$C$29,0)</v>
      </c>
      <c r="I54" s="2" t="str">
        <v>TRADUCIDA</v>
      </c>
    </row>
    <row r="55">
      <c r="A55" s="2" t="str">
        <v>total_beneficios_pais_k</v>
      </c>
      <c r="B55" s="2" t="str">
        <v>Total de beneficios directos al país</v>
      </c>
      <c r="C55" s="2" t="str">
        <v>Beneficios al país</v>
      </c>
      <c r="D55" s="2" t="str">
        <v>anio</v>
      </c>
      <c r="E55" s="2" t="str">
        <v>kUSD</v>
      </c>
      <c r="F55" s="2" t="str">
        <v>Sí</v>
      </c>
      <c r="G55" s="2" t="str">
        <v>impuesto_utilidades_k + otros_impuestos_k + aranceles_k + dividendos_parte_cubana_k + pagos_fuerza_trabajo_k + canon_k + royalties_k + otros_beneficios_pais_k</v>
      </c>
      <c r="H55" s="2" t="str">
        <v>=(((((((D$23+D$34)+D$35)+D$32)+D$33)+D$12)+D$36)+D$37)</v>
      </c>
      <c r="I55" s="2" t="str">
        <v>TRADUCIDA</v>
      </c>
    </row>
    <row r="57">
      <c r="A57" s="8" t="str">
        <v>Las variables mtr_* referencian las hojas del motor (Depreciacion, Deuda, FlujosCaja, Dividendos, Capacidad): cambiar un parámetro de Parametros recalcula esas hojas y con ellas todas las fórmulas dependientes.</v>
      </c>
    </row>
  </sheetData>
  <ignoredErrors>
    <ignoredError numberStoredAsText="1" sqref="A1:I57"/>
  </ignoredErrors>
</worksheet>
</file>

<file path=xl/worksheets/sheet22.xml><?xml version="1.0" encoding="utf-8"?>
<worksheet xmlns="http://schemas.openxmlformats.org/spreadsheetml/2006/main" xmlns:r="http://schemas.openxmlformats.org/officeDocument/2006/relationships">
  <dimension ref="A1:G36"/>
  <sheetViews>
    <sheetView workbookViewId="0"/>
  </sheetViews>
  <cols>
    <col min="1" max="1" width="20.83203125" customWidth="1"/>
    <col min="2" max="2" width="22.83203125" customWidth="1"/>
    <col min="3" max="3" width="90.83203125" customWidth="1"/>
    <col min="4" max="4" width="18.83203125" customWidth="1"/>
    <col min="5" max="5" width="50.83203125" customWidth="1"/>
    <col min="6" max="6" width="50.83203125" customWidth="1"/>
    <col min="7" max="7" width="16.83203125" customWidth="1"/>
  </cols>
  <sheetData>
    <row r="1">
      <c r="A1" s="3" t="str">
        <v>Controles de consistencia y diagnóstico (misión §15)</v>
      </c>
    </row>
    <row r="3">
      <c r="A3" s="26" t="str">
        <v>Nivel</v>
      </c>
      <c r="B3" s="26" t="str">
        <v>Código</v>
      </c>
      <c r="C3" s="26" t="str">
        <v>Hallazgo</v>
      </c>
      <c r="D3" s="26" t="str">
        <v>Partida</v>
      </c>
      <c r="E3" s="26" t="str">
        <v>Consecuencia</v>
      </c>
      <c r="F3" s="26" t="str">
        <v>Corrección</v>
      </c>
      <c r="G3" s="26" t="str">
        <v>Afecta conclusiones</v>
      </c>
    </row>
    <row r="4">
      <c r="A4" s="29" t="str">
        <v>advertencia_importante</v>
      </c>
      <c r="B4" s="2" t="str">
        <v>FINANCIACION_EXCESO</v>
      </c>
      <c r="C4" s="2" t="str">
        <v>Exceso de financiación sin asignar: 76,7 kUSD por encima de la inversión total. Verifique si corresponde a capital de trabajo adicional o ajuste las fuentes.</v>
      </c>
      <c r="D4" s="2" t="str">
        <v>financiero</v>
      </c>
      <c r="E4" s="2" t="str">
        <v>Puede condicionar la calidad o la presentabilidad del plan.</v>
      </c>
      <c r="F4" s="2" t="str">
        <v>Revise el panel de la sección indicada.</v>
      </c>
      <c r="G4" s="2" t="str">
        <v>No</v>
      </c>
    </row>
    <row r="5">
      <c r="A5" s="29" t="str">
        <v>advertencia_importante</v>
      </c>
      <c r="B5" s="2" t="str">
        <v>DEFICIT_CAJA_PROYECTADA</v>
      </c>
      <c r="C5" s="2" t="str">
        <v>La tesorería proyectada (aportaciones fechadas + otras fuentes + desembolsos del crédito + flujos operativos − dividendos) es NEGATIVA en: año 2: faltan 396,8 kUSD (no cubiertas dentro del horizonte). Aunque la financiación total pueda cuadrar en el horizonte completo, las necesidades no están cubiertas cuando se producen: reprogramen desembolsos, amplié el capital de trabajo o declare el supuesto.</v>
      </c>
      <c r="D5" s="2" t="str">
        <v>financiero</v>
      </c>
      <c r="E5" s="2" t="str">
        <v>La tesorería proyectada es negativa en años de operación: las necesidades no están cubiertas el año en que se producen, aunque el agregado del horizonte pueda cuadrar.</v>
      </c>
      <c r="F5" s="2" t="str">
        <v>Reprograme desembolsos, amplíe el capital de trabajo o declare el supuesto de déficit temporal.</v>
      </c>
      <c r="G5" s="2" t="str">
        <v>SÍ</v>
      </c>
    </row>
    <row r="6">
      <c r="A6" s="29" t="str">
        <v>advertencia_importante</v>
      </c>
      <c r="B6" s="2" t="str">
        <v>NO_RECUPERACION</v>
      </c>
      <c r="C6" s="2" t="str">
        <v>La inversión total del proyecto no se recupera dentro del horizonte de 10 años con el flujo de caja del proyecto (FCFF). Amplíe el horizonte o revise los supuestos; no debe presentarse como recuperado.</v>
      </c>
      <c r="D6" s="2" t="str">
        <v>financiero</v>
      </c>
      <c r="E6" s="2" t="str">
        <v>El plan no puede afirmar recuperación de la inversión dentro del horizonte.</v>
      </c>
      <c r="F6" s="2" t="str">
        <v>Amplíe el horizonte o revise supuestos de ingresos y costos.</v>
      </c>
      <c r="G6" s="2" t="str">
        <v>SÍ</v>
      </c>
    </row>
    <row r="7">
      <c r="A7" s="2" t="str">
        <v>informacion_pendiente</v>
      </c>
      <c r="B7" s="2" t="str">
        <v>NO_RECUPERACION_SOCIOS</v>
      </c>
      <c r="C7" s="2" t="str">
        <v>El capital aportado por los socios no se recupera dentro del horizonte de 10 años según el flujo de caja de los socios (FCFE). Si se presenta, debe decirse expresamente.</v>
      </c>
      <c r="D7" s="2" t="str">
        <v>financiero</v>
      </c>
      <c r="E7" s="2" t="str">
        <v>Puede condicionar la calidad o la presentabilidad del plan.</v>
      </c>
      <c r="F7" s="2" t="str">
        <v>Revise el panel de la sección indicada.</v>
      </c>
      <c r="G7" s="2" t="str">
        <v>No</v>
      </c>
    </row>
    <row r="8">
      <c r="A8" s="2" t="str">
        <v>observacion_calidad</v>
      </c>
      <c r="B8" s="2" t="str">
        <v>DEP_FUERA_HORIZONTE</v>
      </c>
      <c r="C8" s="2" t="str">
        <v>El activo «Compresor de aire seco para uso estomatológico (recupera la conformidad técnica: el actual usa aceite)» (vida útil 17 años, disponible en el año 1) no termina de depreciarse dentro del horizonte de 10 años: quedará un valor neto en libros al final del análisis.</v>
      </c>
      <c r="D8" s="2" t="str">
        <v>inversiones</v>
      </c>
      <c r="E8" s="2" t="str">
        <v>Puede condicionar la calidad o la presentabilidad del plan.</v>
      </c>
      <c r="F8" s="2" t="str">
        <v>Revise el panel de la sección indicada.</v>
      </c>
      <c r="G8" s="2" t="str">
        <v>No</v>
      </c>
    </row>
    <row r="9">
      <c r="A9" s="2" t="str">
        <v>observacion_calidad</v>
      </c>
      <c r="B9" s="2" t="str">
        <v>DEP_FUERA_HORIZONTE</v>
      </c>
      <c r="C9" s="2" t="str">
        <v>El activo «Prensa hidráulica de estomatología (moderniza el proceso de prótesis)» (vida útil 17 años, disponible en el año 1) no termina de depreciarse dentro del horizonte de 10 años: quedará un valor neto en libros al final del análisis.</v>
      </c>
      <c r="D9" s="2" t="str">
        <v>inversiones</v>
      </c>
      <c r="E9" s="2" t="str">
        <v>Puede condicionar la calidad o la presentabilidad del plan.</v>
      </c>
      <c r="F9" s="2" t="str">
        <v>Revise el panel de la sección indicada.</v>
      </c>
      <c r="G9" s="2" t="str">
        <v>No</v>
      </c>
    </row>
    <row r="10">
      <c r="A10" s="2" t="str">
        <v>observacion_calidad</v>
      </c>
      <c r="B10" s="2" t="str">
        <v>DEP_FUERA_HORIZONTE</v>
      </c>
      <c r="C10" s="2" t="str">
        <v>El activo «Micromotor de mano (tecnología nueva para prótesis)» (vida útil 17 años, disponible en el año 1) no termina de depreciarse dentro del horizonte de 10 años: quedará un valor neto en libros al final del análisis.</v>
      </c>
      <c r="D10" s="2" t="str">
        <v>inversiones</v>
      </c>
      <c r="E10" s="2" t="str">
        <v>Puede condicionar la calidad o la presentabilidad del plan.</v>
      </c>
      <c r="F10" s="2" t="str">
        <v>Revise el panel de la sección indicada.</v>
      </c>
      <c r="G10" s="2" t="str">
        <v>No</v>
      </c>
    </row>
    <row r="11">
      <c r="A11" s="2" t="str">
        <v>observacion_calidad</v>
      </c>
      <c r="B11" s="2" t="str">
        <v>DEP_FUERA_HORIZONTE</v>
      </c>
      <c r="C11" s="2" t="str">
        <v>El activo «Eliminador de burbujas (calidad de prótesis)» (vida útil 17 años, disponible en el año 1) no termina de depreciarse dentro del horizonte de 10 años: quedará un valor neto en libros al final del análisis.</v>
      </c>
      <c r="D11" s="2" t="str">
        <v>inversiones</v>
      </c>
      <c r="E11" s="2" t="str">
        <v>Puede condicionar la calidad o la presentabilidad del plan.</v>
      </c>
      <c r="F11" s="2" t="str">
        <v>Revise el panel de la sección indicada.</v>
      </c>
      <c r="G11" s="2" t="str">
        <v>No</v>
      </c>
    </row>
    <row r="12">
      <c r="A12" s="2" t="str">
        <v>observacion_calidad</v>
      </c>
      <c r="B12" s="2" t="str">
        <v>DEP_FUERA_HORIZONTE</v>
      </c>
      <c r="C12" s="2" t="str">
        <v>El activo «Olla polimerizadora a presión (sustituye la cocción en microondas)» (vida útil 17 años, disponible en el año 1) no termina de depreciarse dentro del horizonte de 10 años: quedará un valor neto en libros al final del análisis.</v>
      </c>
      <c r="D12" s="2" t="str">
        <v>inversiones</v>
      </c>
      <c r="E12" s="2" t="str">
        <v>Puede condicionar la calidad o la presentabilidad del plan.</v>
      </c>
      <c r="F12" s="2" t="str">
        <v>Revise el panel de la sección indicada.</v>
      </c>
      <c r="G12" s="2" t="str">
        <v>No</v>
      </c>
    </row>
    <row r="13">
      <c r="A13" s="2" t="str">
        <v>observacion_calidad</v>
      </c>
      <c r="B13" s="2" t="str">
        <v>INVERSION_CUP</v>
      </c>
      <c r="C13" s="2" t="str">
        <v>Existen partidas de inversión en CUP: se convierten con el tipo de cambio parametrizado. Verifique la tasa, la fecha de referencia y la fuente.</v>
      </c>
      <c r="D13" s="2" t="str">
        <v>inversiones</v>
      </c>
      <c r="E13" s="2" t="str">
        <v>Puede condicionar la calidad o la presentabilidad del plan.</v>
      </c>
      <c r="F13" s="2" t="str">
        <v>Revise el panel de la sección indicada.</v>
      </c>
      <c r="G13" s="2" t="str">
        <v>No</v>
      </c>
    </row>
    <row r="14">
      <c r="A14" s="29" t="str">
        <v>advertencia_importante</v>
      </c>
      <c r="B14" s="2" t="str">
        <v>PARTICIPACION_INCOHERENTE</v>
      </c>
      <c r="C14" s="2" t="str">
        <v>La participación cubana parametrizada (50,0 %) difiere de la composición real de las aportaciones (16,2 %). Los dividendos se reparten con el parámetro, no con la composición.</v>
      </c>
      <c r="D14" s="2" t="str">
        <v>pct_parte_cubana / aportaciones</v>
      </c>
      <c r="E14" s="2" t="str">
        <v>El reparto de dividendos puede no corresponder al capital social realmente aportado.</v>
      </c>
      <c r="F14" s="2" t="str">
        <v>Ajuste el parámetro o la tabla de aportaciones para que coincidan.</v>
      </c>
      <c r="G14" s="2" t="str">
        <v>SÍ</v>
      </c>
    </row>
    <row r="15">
      <c r="A15" s="2" t="str">
        <v>observacion_calidad</v>
      </c>
      <c r="B15" s="2" t="str">
        <v>ESCUDO_FISCAL_CLASE</v>
      </c>
      <c r="C15" s="2" t="str">
        <v>Escudo fiscal — clasificación de la regla de impuestos activa: sin deuda. No hay intereses devengados en el horizonte (sin crédito o importe cero): el escudo fiscal es cero por definición y no se requiere reevaluación contrafactual.</v>
      </c>
      <c r="D15" s="2" t="str">
        <v>escudo fiscal</v>
      </c>
      <c r="E15" s="2" t="str">
        <v>Clasificación documentada: la valoración de los flujos conoce qué reevalúa y qué no.</v>
      </c>
      <c r="F15" s="2" t="str">
        <v>Mantenga la regla de impuestos reevaluable (sin dependencias circulares ni errores de dominio con la base hipotética).</v>
      </c>
      <c r="G15" s="2" t="str">
        <v>No</v>
      </c>
    </row>
    <row r="16">
      <c r="A16" s="2" t="str">
        <v>informacion_pendiente</v>
      </c>
      <c r="B16" s="2" t="str">
        <v>PENDIENTE</v>
      </c>
      <c r="C16" s="2" t="str">
        <v>Falta identificar al elaborador del plan (4.1): el campo está vacío o marcado como pendiente.</v>
      </c>
      <c r="D16" s="2" t="str">
        <v>4.1</v>
      </c>
      <c r="E16" s="2" t="str">
        <v>El apartado no está completado sustantivamente.</v>
      </c>
      <c r="F16" s="2" t="str">
        <v>Complete la información o declare expresamente que está pendiente.</v>
      </c>
      <c r="G16" s="2" t="str">
        <v>No</v>
      </c>
    </row>
    <row r="17">
      <c r="A17" s="2" t="str">
        <v>informacion_pendiente</v>
      </c>
      <c r="B17" s="2" t="str">
        <v>PENDIENTE</v>
      </c>
      <c r="C17" s="2" t="str">
        <v>Falta la firma o identificación del elaborador (4.1).</v>
      </c>
      <c r="D17" s="2" t="str">
        <v>4.1</v>
      </c>
      <c r="E17" s="2" t="str">
        <v>El apartado no está completado sustantivamente.</v>
      </c>
      <c r="F17" s="2" t="str">
        <v>Complete la información o declare expresamente que está pendiente.</v>
      </c>
      <c r="G17" s="2" t="str">
        <v>No</v>
      </c>
    </row>
    <row r="18">
      <c r="A18" s="2" t="str">
        <v>informacion_pendiente</v>
      </c>
      <c r="B18" s="2" t="str">
        <v>PENDIENTE</v>
      </c>
      <c r="C18" s="2" t="str">
        <v>La declaración de responsabilidad no ha sido aceptada (4.1): el documento NO está en condiciones de presentarse como definitivo.</v>
      </c>
      <c r="D18" s="2" t="str">
        <v>4.1</v>
      </c>
      <c r="E18" s="2" t="str">
        <v>El apartado no está completado sustantivamente.</v>
      </c>
      <c r="F18" s="2" t="str">
        <v>Complete la información o declare expresamente que está pendiente.</v>
      </c>
      <c r="G18" s="2" t="str">
        <v>No</v>
      </c>
    </row>
    <row r="19">
      <c r="A19" s="2" t="str">
        <v>informacion_pendiente</v>
      </c>
      <c r="B19" s="2" t="str">
        <v>REFERENCIA_HIPOTESIS</v>
      </c>
      <c r="C19" s="2" t="str">
        <v>1 aportación(es) declaran una «referencia documental» que en realidad es una HIPÓTESIS de demostración (figuran como ficticia, ilustrativa, proforma o pendiente). Una referencia documental exigible debe identificar el documento, su emisor y su fecha, y adjuntar el soporte cuando corresponda.</v>
      </c>
      <c r="D19" s="2" t="str">
        <v>aportaciones</v>
      </c>
      <c r="E19" s="2" t="str">
        <v>Los aportes no cuentan con respaldo acreditado: el plan no está en condiciones de presentarse oficialmente.</v>
      </c>
      <c r="F19" s="2" t="str">
        <v>Sustituya las referencias hipotéticas por documentos identificables (título, emisor, fecha) o declare la ausencia de soporte.</v>
      </c>
      <c r="G19" s="2" t="str">
        <v>No</v>
      </c>
    </row>
    <row r="21">
      <c r="A21" s="3" t="str">
        <v>RESUMEN DE CONTROL</v>
      </c>
    </row>
    <row r="22">
      <c r="A22" s="26" t="str">
        <v>Dimensión</v>
      </c>
      <c r="B22" s="26" t="str">
        <v>Estado</v>
      </c>
      <c r="C22" s="26" t="str">
        <v>Detalle</v>
      </c>
    </row>
    <row r="23">
      <c r="A23" s="2" t="str">
        <v>Integridad aritmética</v>
      </c>
      <c r="B23" s="30" t="str">
        <v>ok</v>
      </c>
      <c r="C23" s="2" t="str">
        <v>Las reglas evalúan sin errores, la deuda reconcilia saldo a saldo, la depreciación no excede las bases y FCFF/FCFE cumplen la identidad algebraica.</v>
      </c>
    </row>
    <row r="24">
      <c r="A24" s="2" t="str">
        <v>Coherencia financiera y contable</v>
      </c>
      <c r="B24" s="31" t="str">
        <v>deficiente</v>
      </c>
      <c r="C24" s="2" t="str">
        <v>Inversión 5,5 kUSD vs financiación comprometida 82,2 kUSD (conciliación total) y fuentes con desembolso en el año 0 82,2 kUSD (conciliación temporal, incluida en el informe); recuperación simple del proyecto no alcanzada en el horizonte; del capital aportado no recuperado en el horizonte; capacidad verificada contra los recursos operativos.</v>
      </c>
    </row>
    <row r="25">
      <c r="A25" s="2" t="str">
        <v>Evidencia y trazabilidad de los supuestos</v>
      </c>
      <c r="B25" s="32" t="str">
        <v>deficiente</v>
      </c>
      <c r="C25" s="2" t="str">
        <v>0 parámetro(s) de demostración sin validación normativa; 1 aportación(es) sin referencia documental IDENTIFICABLE (vacía o hipótesis); 2 con referencia declarada. Las referencias hipotéticas NO cuentan como fuentes validadas.</v>
      </c>
    </row>
    <row r="26">
      <c r="A26" s="2" t="str">
        <v>Cumplimiento de la estructura metodológica</v>
      </c>
      <c r="B26" s="32" t="str">
        <v>deficiente</v>
      </c>
      <c r="C26" s="2" t="str">
        <v>Apartados 4.1–4.12 con 5 elemento(s) pendiente(s). Pendientes: financiero, 4.1, aportaciones. La completitud formal no equivale a validación de contenido.</v>
      </c>
    </row>
    <row r="27">
      <c r="A27" s="2" t="str">
        <v>Estado de validación normativa y comercial</v>
      </c>
      <c r="B27" s="29" t="str">
        <v>aceptable</v>
      </c>
      <c r="C27" s="2" t="str">
        <v>La aplicación NO valida el cumplimiento legal, tributario, sanitario ni de mercado: la estructura documental no equivale a validación normativa. Los requisitos regulatorios declarados están LISTADOS, no VERIFICADOS: cada autorización exige evidencia externa comprobable (número, emisor, fecha). La demanda solvente y los precios requieren fuentes con fecha.</v>
      </c>
    </row>
    <row r="28">
      <c r="A28" s="2" t="str">
        <v>Calidad documental</v>
      </c>
      <c r="B28" s="29" t="str">
        <v>aceptable</v>
      </c>
      <c r="C28" s="2" t="str">
        <v>Observaciones de calidad: 6; 0 análisis editados por revisar frente al modelo; campos obligatorios pendientes en 4.1: 3.</v>
      </c>
    </row>
    <row r="29">
      <c r="A29" s="8" t="str">
        <v>Conteo: 0 error(es) bloqueante(s), 4 advertencia(s) importante(s), 5 pendiente(s), 7 observación(es) de calidad.</v>
      </c>
    </row>
    <row r="30">
      <c r="A30" s="8" t="str">
        <v>ESTADO GENERAL DEL PLAN (DOC-002 §5): Validación financiera pendiente. Existen 0 error(es) de cálculo y/o hallazgos financieros relevantes sin resolver (FINANCIACION_EXCESO, DEFICIT_CAJA_PROYECTADA, NO_RECUPERACION, PARTICIPACION_INCOHERENTE): el modelo financiero no está en condiciones de validarse.</v>
      </c>
    </row>
    <row r="31">
      <c r="A31" s="8" t="str">
        <v>La completitud formal de campos NO se usa como prueba de calidad: un apartado completo de supuestos sin respaldo sigue sin estar validado. Las seis dimensiones se evalúan de forma independiente.</v>
      </c>
    </row>
    <row r="32">
      <c r="A32" s="4" t="str">
        <v>Clasificación de hallazgos (misión §15)</v>
      </c>
    </row>
    <row r="33">
      <c r="A33" s="2" t="str">
        <v>error_bloqueante</v>
      </c>
      <c r="B33" s="8" t="str">
        <v>El cálculo es inválido, una fórmula tiene referencias rotas o existe una inconsistencia que impide interpretar el resultado.</v>
      </c>
    </row>
    <row r="34">
      <c r="A34" s="2" t="str">
        <v>advertencia_importante</v>
      </c>
      <c r="B34" s="8" t="str">
        <v>Capacidad insuficiente, financiación no garantizada, recuperación no alcanzada o supuestos críticos no validados.</v>
      </c>
    </row>
    <row r="35">
      <c r="A35" s="2" t="str">
        <v>informacion_pendiente</v>
      </c>
      <c r="B35" s="8" t="str">
        <v>Falta completar un campo, adjuntar evidencia o documentar un supuesto.</v>
      </c>
    </row>
    <row r="36">
      <c r="A36" s="2" t="str">
        <v>observacion_calidad</v>
      </c>
      <c r="B36" s="8" t="str">
        <v>Recomendación de mejorar la redacción, la evidencia, el análisis o la presentación.</v>
      </c>
    </row>
  </sheetData>
  <ignoredErrors>
    <ignoredError numberStoredAsText="1" sqref="A1:G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Portada</vt:lpstr>
      <vt:lpstr>Resumen</vt:lpstr>
      <vt:lpstr>Parametros</vt:lpstr>
      <vt:lpstr>Inversion</vt:lpstr>
      <vt:lpstr>Depreciacion</vt:lpstr>
      <vt:lpstr>Deuda</vt:lpstr>
      <vt:lpstr>Aportaciones</vt:lpstr>
      <vt:lpstr>Financiacion</vt:lpstr>
      <vt:lpstr>Servicios</vt:lpstr>
      <vt:lpstr>Personal</vt:lpstr>
      <vt:lpstr>Capacidad</vt:lpstr>
      <vt:lpstr>Proyecciones</vt:lpstr>
      <vt:lpstr>FlujosCaja</vt:lpstr>
      <vt:lpstr>Dividendos</vt:lpstr>
      <vt:lpstr>BeneficiosPais</vt:lpstr>
      <vt:lpstr>FuerzaTrabajo</vt:lpstr>
      <vt:lpstr>Cronograma</vt:lpstr>
      <vt:lpstr>ConsumosTecnicos</vt:lpstr>
      <vt:lpstr>Mercado</vt:lpstr>
      <vt:lpstr>Descripcion</vt:lpstr>
      <vt:lpstr>Reglas</vt:lpstr>
      <vt:lpstr>Controles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2026-10-27T11:58:58Z</dcterms:created>
  <dc:creator>PLANEX Cuba</dc:creator>
  <dc:title>Centro Estomatológico Internacional Holguín</dc:title>
</cp:coreProperties>
</file>