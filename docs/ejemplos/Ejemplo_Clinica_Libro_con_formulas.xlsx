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Portada" sheetId="1" r:id="rId1"/>
    <sheet name="Resumen" sheetId="2" r:id="rId2"/>
    <sheet name="Parametros" sheetId="3" r:id="rId3"/>
    <sheet name="Inversion" sheetId="4" r:id="rId4"/>
    <sheet name="Aportaciones" sheetId="5" r:id="rId5"/>
    <sheet name="Financiacion" sheetId="6" r:id="rId6"/>
    <sheet name="Servicios" sheetId="7" r:id="rId7"/>
    <sheet name="Personal" sheetId="8" r:id="rId8"/>
    <sheet name="Proyecciones" sheetId="9" r:id="rId9"/>
    <sheet name="FlujoCaja" sheetId="10" r:id="rId10"/>
    <sheet name="BeneficiosPais" sheetId="11" r:id="rId11"/>
    <sheet name="FuerzaTrabajo" sheetId="12" r:id="rId12"/>
    <sheet name="Cronograma" sheetId="13" r:id="rId13"/>
    <sheet name="ConsumosTecnicos" sheetId="14" r:id="rId14"/>
    <sheet name="Mercado" sheetId="15" r:id="rId15"/>
    <sheet name="Descripcion" sheetId="16" r:id="rId16"/>
    <sheet name="Reglas" sheetId="17" r:id="rId17"/>
    <sheet name="Controles" sheetId="18" r:id="rId18"/>
  </sheets>
  <calcPr calcId="171027" fullCalcOnLoad="1"/>
  <definedNames>
    <definedName name="_xlnm._FilterDatabase" localSheetId="3">'Inversion'!A3:G14</definedName>
    <definedName name="_xlnm._FilterDatabase" localSheetId="6">'Servicios'!A3:N93</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8">
    <numFmt numFmtId="165" formatCode="#,##0.0"/>
    <numFmt numFmtId="166" formatCode="#,##0.0"/>
    <numFmt numFmtId="167" formatCode="0.0"/>
    <numFmt numFmtId="168" formatCode="0.0%"/>
    <numFmt numFmtId="169" formatCode="#,##0.0"/>
    <numFmt numFmtId="170" formatCode="0.0%"/>
    <numFmt numFmtId="171" formatCode="0.0"/>
    <numFmt numFmtId="172" formatCode="#,##0.0"/>
  </numFmts>
  <fonts count="14" x14ac:knownFonts="1">
    <font>
      <sz val="11"/>
      <name val="Calibri"/>
    </font>
    <font>
      <sz val="11"/>
      <name val="Calibri"/>
    </font>
    <font>
      <sz val="14"/>
      <name val="Calibri"/>
      <b/>
      <color rgb="333F50"/>
    </font>
    <font>
      <sz val="10"/>
      <name val="Calibri"/>
      <i/>
      <color rgb="595959"/>
    </font>
    <font>
      <sz val="9"/>
      <name val="Calibri"/>
      <i/>
      <color rgb="7F6000"/>
    </font>
    <font>
      <sz val="9"/>
      <name val="Calibri"/>
      <b/>
      <color rgb="843C0C"/>
    </font>
    <font>
      <sz val="9"/>
      <name val="Calibri"/>
      <b/>
      <color rgb="843C0C"/>
    </font>
    <font>
      <sz val="10"/>
      <name val="Calibri"/>
      <b/>
      <color rgb="FFFFFF"/>
    </font>
    <font>
      <sz val="10"/>
      <name val="Calibri"/>
      <b/>
      <color rgb="FFFFFF"/>
    </font>
    <font>
      <sz val="11"/>
      <name val="Calibri"/>
      <b/>
    </font>
    <font>
      <sz val="11"/>
      <name val="Calibri"/>
      <b/>
    </font>
    <font>
      <sz val="11"/>
      <name val="Calibri"/>
      <b/>
    </font>
    <font>
      <sz val="10"/>
      <name val="Calibri"/>
      <b/>
      <color rgb="FFFFFF"/>
    </font>
    <font>
      <sz val="11"/>
      <name val="Calibri"/>
      <b/>
    </font>
  </fonts>
  <fills count="23">
    <fill>
      <patternFill patternType="none">
        <bgColor/>
      </patternFill>
    </fill>
    <fill>
      <patternFill patternType="gray125">
        <bgColor/>
      </patternFill>
    </fill>
    <fill>
      <patternFill patternType="solid">
        <fgColor rgb="FFE2EFDA"/>
        <bgColor/>
      </patternFill>
    </fill>
    <fill>
      <patternFill patternType="solid">
        <fgColor rgb="FFE2EFDA"/>
        <bgColor/>
      </patternFill>
    </fill>
    <fill>
      <patternFill patternType="solid">
        <fgColor rgb="FFF8CBAD"/>
        <bgColor/>
      </patternFill>
    </fill>
    <fill>
      <patternFill patternType="solid">
        <fgColor rgb="FFF8CBAD"/>
        <bgColor/>
      </patternFill>
    </fill>
    <fill>
      <patternFill patternType="solid">
        <fgColor rgb="FF333F50"/>
        <bgColor/>
      </patternFill>
    </fill>
    <fill>
      <patternFill patternType="solid">
        <fgColor rgb="FF333F50"/>
        <bgColor/>
      </patternFill>
    </fill>
    <fill>
      <patternFill patternType="solid">
        <fgColor rgb="FFE2EFDA"/>
        <bgColor/>
      </patternFill>
    </fill>
    <fill>
      <patternFill patternType="solid">
        <fgColor rgb="FFE2EFDA"/>
        <bgColor/>
      </patternFill>
    </fill>
    <fill>
      <patternFill patternType="solid">
        <fgColor rgb="FFE2EFDA"/>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E7E6E6"/>
        <bgColor/>
      </patternFill>
    </fill>
    <fill>
      <patternFill patternType="solid">
        <fgColor rgb="FFE7E6E6"/>
        <bgColor/>
      </patternFill>
    </fill>
    <fill>
      <patternFill patternType="solid">
        <fgColor rgb="FFE7E6E6"/>
        <bgColor/>
      </patternFill>
    </fill>
    <fill>
      <patternFill patternType="solid">
        <fgColor rgb="FFE2EFDA"/>
        <bgColor/>
      </patternFill>
    </fill>
    <fill>
      <patternFill patternType="solid">
        <fgColor rgb="FFFFF2CC"/>
        <bgColor/>
      </patternFill>
    </fill>
    <fill>
      <patternFill patternType="solid">
        <fgColor rgb="FF333F50"/>
        <bgColor/>
      </patternFill>
    </fill>
    <fill>
      <patternFill patternType="solid">
        <fgColor rgb="FFE7E6E6"/>
        <bgColor/>
      </patternFill>
    </fill>
  </fills>
  <borders count="2">
    <border>
      <left/>
      <right/>
      <top/>
      <bottom/>
      <diagonal/>
    </border>
    <border>
      <left/>
      <right/>
      <top/>
      <bottom/>
      <diagonal/>
    </border>
  </borders>
  <cellStyleXfs>
    <xf numFmtId="0" fontId="0" fillId="0" borderId="0"/>
  </cellStyleXfs>
  <cellXfs count="27">
    <xf numFmtId="0" fontId="0" fillId="0" borderId="0" xfId="0"/>
    <xf numFmtId="0" fontId="1" fillId="1" borderId="1" xfId="0" applyFont="1" applyFill="1" applyBorder="1"/>
    <xf numFmtId="0" fontId="0" fillId="0" borderId="0" xfId="0"/>
    <xf numFmtId="0" fontId="2" fillId="0" borderId="0" xfId="0" applyFont="1"/>
    <xf numFmtId="0" fontId="3" fillId="0" borderId="0" xfId="0" applyFont="1"/>
    <xf numFmtId="165" fontId="0" fillId="2" borderId="0" xfId="0" applyFill="1" applyNumberFormat="1"/>
    <xf numFmtId="166" fontId="0" fillId="3" borderId="0" xfId="0" applyFill="1" applyNumberFormat="1"/>
    <xf numFmtId="0" fontId="4" fillId="0" borderId="0" xfId="0" applyFont="1"/>
    <xf numFmtId="0" fontId="5" fillId="4" borderId="0" xfId="0" applyFont="1" applyFill="1"/>
    <xf numFmtId="0" fontId="6" fillId="5" borderId="0" xfId="0" applyFont="1" applyFill="1"/>
    <xf numFmtId="0" fontId="7" fillId="6" borderId="0" xfId="0" applyFont="1" applyFill="1" applyAlignment="1">
      <alignment horizontal="center" vertical="center" wrapText="true"/>
    </xf>
    <xf numFmtId="0" fontId="8" fillId="7" borderId="0" xfId="0" applyFont="1" applyFill="1" applyAlignment="1">
      <alignment horizontal="center" vertical="center" wrapText="true"/>
    </xf>
    <xf numFmtId="167" fontId="0" fillId="8" borderId="0" xfId="0" applyFill="1" applyNumberFormat="1"/>
    <xf numFmtId="1" fontId="0" fillId="9" borderId="0" xfId="0" applyFill="1" applyNumberFormat="1"/>
    <xf numFmtId="3" fontId="0" fillId="10" borderId="0" xfId="0" applyFill="1" applyNumberFormat="1"/>
    <xf numFmtId="168" fontId="0" fillId="11" borderId="0" xfId="0" applyFill="1" applyNumberFormat="1"/>
    <xf numFmtId="169" fontId="0" fillId="12" borderId="0" xfId="0" applyFill="1" applyNumberFormat="1"/>
    <xf numFmtId="170" fontId="0" fillId="13" borderId="0" xfId="0" applyFill="1" applyNumberFormat="1"/>
    <xf numFmtId="171" fontId="0" fillId="14" borderId="0" xfId="0" applyFill="1" applyNumberFormat="1"/>
    <xf numFmtId="1" fontId="0" fillId="15" borderId="0" xfId="0" applyFill="1" applyNumberFormat="1"/>
    <xf numFmtId="0" fontId="9" fillId="16" borderId="0" xfId="0" applyFont="1" applyFill="1"/>
    <xf numFmtId="172" fontId="10" fillId="17" borderId="0" xfId="0" applyFont="1" applyFill="1" applyNumberFormat="1"/>
    <xf numFmtId="0" fontId="11" fillId="18" borderId="0" xfId="0" applyFont="1" applyFill="1"/>
    <xf numFmtId="0" fontId="0" fillId="19" borderId="0" xfId="0" applyFill="1"/>
    <xf numFmtId="3" fontId="0" fillId="20" borderId="0" xfId="0" applyFill="1" applyNumberFormat="1"/>
    <xf numFmtId="1" fontId="12" fillId="21" borderId="0" xfId="0" applyFont="1" applyFill="1" applyNumberFormat="1" applyAlignment="1">
      <alignment horizontal="center" vertical="center" wrapText="true"/>
    </xf>
    <xf numFmtId="1" fontId="13" fillId="22" borderId="0" xfId="0" applyFont="1" applyFill="1" applyNumberFormat="1"/>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theme" Target="theme/theme1.xml"/><Relationship Id="rId20" Type="http://schemas.openxmlformats.org/officeDocument/2006/relationships/styles" Target="styles.xml"/><Relationship Id="rId21"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B18"/>
  <sheetViews>
    <sheetView workbookViewId="0"/>
  </sheetViews>
  <cols>
    <col min="1" max="1" width="42.83203125" customWidth="1"/>
    <col min="2" max="2" width="60.83203125" customWidth="1"/>
  </cols>
  <sheetData>
    <row r="1">
      <c r="A1" s="3" t="str">
        <v>PLANEX Cuba — Plan de Negocios para propuestas de inversión extranjera</v>
      </c>
    </row>
    <row r="2">
      <c r="A2" s="4" t="str">
        <v>Metodología: Bases metodológicas GOC-2026-O57 (epígrafes 4.1–4.12)</v>
      </c>
    </row>
    <row r="4">
      <c r="A4" s="2" t="str">
        <v>Proyecto:</v>
      </c>
      <c r="B4" s="2" t="str">
        <v>Clínica Estomatológica «Sonrisa Habana»</v>
      </c>
    </row>
    <row r="5">
      <c r="A5" s="2" t="str">
        <v>Denominación:</v>
      </c>
      <c r="B5" s="2" t="str">
        <v>Constitución de una empresa mixta para la prestación de servicios estomatológicos integrales en La Habana</v>
      </c>
    </row>
    <row r="6">
      <c r="A6" s="2" t="str">
        <v>Plantilla de origen:</v>
      </c>
      <c r="B6" s="2" t="str">
        <v>clinica</v>
      </c>
    </row>
    <row r="7">
      <c r="A7" s="2" t="str">
        <v>Fecha de exportación:</v>
      </c>
      <c r="B7" s="2" t="str">
        <v>25/10/2026, 12:00:00</v>
      </c>
    </row>
    <row r="8">
      <c r="A8" s="2" t="str">
        <v>Versión de esquema:</v>
      </c>
      <c r="B8" s="2" t="str">
        <v>1.0.0</v>
      </c>
    </row>
    <row r="10">
      <c r="A10" s="2" t="str">
        <v>Inversión total (kUSD):</v>
      </c>
      <c r="B10" s="5">
        <f>=Financiacion!$D$8</f>
        <v>1480</v>
      </c>
    </row>
    <row r="11">
      <c r="A11" s="2" t="str">
        <v>Aportaciones (kUSD):</v>
      </c>
      <c r="B11" s="6">
        <f>=Financiacion!$D$10</f>
        <v>1180</v>
      </c>
    </row>
    <row r="12">
      <c r="A12" s="2" t="str">
        <v>Ingresos totales año 1 (kUSD):</v>
      </c>
      <c r="B12" s="6">
        <f>=Proyecciones!D$7</f>
        <v>967.8</v>
      </c>
    </row>
    <row r="13">
      <c r="A13" s="2" t="str">
        <v>Utilidad después de impuestos año 1 (kUSD):</v>
      </c>
      <c r="B13" s="6">
        <f>=Proyecciones!D$24</f>
        <v>239.97024999999996</v>
      </c>
    </row>
    <row r="14">
      <c r="A14" s="2" t="str">
        <v>Período de recuperación:</v>
      </c>
      <c r="B14" s="2" t="str">
        <v>4,0 años</v>
      </c>
    </row>
    <row r="15">
      <c r="A15" s="7" t="str">
        <v>Nota: la recuperación se interpola linealmente sobre el flujo de caja acumulado; en Excel se exporta como valor (método documentado).</v>
      </c>
    </row>
    <row r="17">
      <c r="A17" s="8" t="str">
        <v>EJEMPLO ILUSTRATIVO CON DATOS FICTICIOS. No constituye una propuesta aprobada ni acredita el cumplimiento de requisitos legales, tributarios, sanitarios o de inversión. Validar las cifras, supuestos, autorizaciones y requisitos aplicables antes de su presentación oficial.</v>
      </c>
    </row>
    <row r="18">
      <c r="A18" s="9" t="str">
        <v>La tasa del impuesto sobre utilidades (35 % inicial) es un supuesto de demostración editable: no constituye la tasa legal aplicable.</v>
      </c>
    </row>
  </sheetData>
  <ignoredErrors>
    <ignoredError numberStoredAsText="1" sqref="A1:B18"/>
  </ignoredErrors>
</worksheet>
</file>

<file path=xl/worksheets/sheet2.xml><?xml version="1.0" encoding="utf-8"?>
<worksheet xmlns="http://schemas.openxmlformats.org/spreadsheetml/2006/main" xmlns:r="http://schemas.openxmlformats.org/officeDocument/2006/relationships">
  <dimension ref="A1:B19"/>
  <sheetViews>
    <sheetView workbookViewId="0"/>
  </sheetViews>
  <cols>
    <col min="1" max="1" width="46.83203125" customWidth="1"/>
    <col min="2" max="2" width="20.83203125" customWidth="1"/>
  </cols>
  <sheetData>
    <row r="1">
      <c r="A1" s="3" t="str">
        <v>Resumen ejecutivo</v>
      </c>
    </row>
    <row r="2">
      <c r="A2" s="2" t="str">
        <v xml:space="preserve">El presente ejemplo ilustrativo resume la propuesta de constitución de una empresa mixta entre un inversionista extranjero del sector de servicios de salud y una entidad nacional cubana, para la prestación de servicios estomatológicos integrales de calidad en La Habana. Todas las cifras son datos ficticios de demostración de la aplicación y deben sustituirse y validarse antes de cualquier presentación oficial. La propuesta contempla la rehabilitación y equipamiento de una instalación asistencial con 5 gabinetes, la incorporación de tecnologías de imagenología digital y laboratorio de prótesis, y la generación de empleo calificado. El modelo financiero del ejemplo proyecta 10 años de operación, con recuperación de la inversión en torno al cuarto año y aportes sostenidos al país en concepto </v>
      </c>
    </row>
    <row r="4">
      <c r="A4" s="10" t="str">
        <v>Indicador</v>
      </c>
      <c r="B4" s="11" t="str">
        <v>Valor</v>
      </c>
    </row>
    <row r="5">
      <c r="A5" s="2" t="str">
        <v>Horizonte de análisis (años)</v>
      </c>
      <c r="B5" s="12">
        <v>10</v>
      </c>
    </row>
    <row r="6">
      <c r="A6" s="2" t="str">
        <v>Inversión total (kUSD)</v>
      </c>
      <c r="B6" s="6">
        <f>=Financiacion!$D$8</f>
        <v>1480</v>
      </c>
    </row>
    <row r="7">
      <c r="A7" s="2" t="str">
        <v>Aportaciones de los socios (kUSD)</v>
      </c>
      <c r="B7" s="6">
        <f>=Financiacion!$D$10</f>
        <v>1180</v>
      </c>
    </row>
    <row r="8">
      <c r="A8" s="2" t="str">
        <v>Ingresos totales año 1 (kUSD)</v>
      </c>
      <c r="B8" s="6">
        <f>=Proyecciones!D$7</f>
        <v>967.8</v>
      </c>
    </row>
    <row r="9">
      <c r="A9" s="2" t="str">
        <v>Utilidad después de impuestos año 1 (kUSD)</v>
      </c>
      <c r="B9" s="6">
        <f>=Proyecciones!D$24</f>
        <v>239.97024999999996</v>
      </c>
    </row>
    <row r="10">
      <c r="A10" s="2" t="str">
        <v>Utilidad neta acumulada años 1–N (kUSD)</v>
      </c>
      <c r="B10" s="6">
        <f>=SUM(Proyecciones!D24:M24)</f>
        <v>4288.04796930542</v>
      </c>
    </row>
    <row r="11">
      <c r="A11" s="2" t="str">
        <v>Beneficios directos al país acumulados (kUSD)</v>
      </c>
      <c r="B11" s="6">
        <f>=SUM(Proyecciones!D-1:M-1)</f>
        <v>4078.040226670966</v>
      </c>
    </row>
    <row r="12">
      <c r="A12" s="2" t="str">
        <v>Período de recuperación (años)</v>
      </c>
      <c r="B12" s="12">
        <v>4.041460860462091</v>
      </c>
    </row>
    <row r="13">
      <c r="A13" s="2" t="str">
        <v>Total de trabajadores (operación)</v>
      </c>
      <c r="B13" s="13">
        <v>27</v>
      </c>
    </row>
    <row r="14">
      <c r="A14" s="2" t="str">
        <v>Salario promedio anual (CUP)</v>
      </c>
      <c r="B14" s="14">
        <v>567111.1111111111</v>
      </c>
    </row>
    <row r="16">
      <c r="A16" s="7" t="str">
        <v>Notas:</v>
      </c>
    </row>
    <row r="17">
      <c r="A17" s="7" t="str">
        <v>Las cifras de este resumen se vinculan automáticamente al modelo financiero y se actualizan al cambiar parámetros o fórmulas.</v>
      </c>
    </row>
    <row r="19">
      <c r="A19" s="9" t="str">
        <v>EJEMPLO ILUSTRATIVO CON DATOS FICTICIOS — validar cifras y supuestos antes de un uso oficial.</v>
      </c>
    </row>
  </sheetData>
  <ignoredErrors>
    <ignoredError numberStoredAsText="1" sqref="A1:B19"/>
  </ignoredErrors>
</worksheet>
</file>

<file path=xl/worksheets/sheet3.xml><?xml version="1.0" encoding="utf-8"?>
<worksheet xmlns="http://schemas.openxmlformats.org/spreadsheetml/2006/main" xmlns:r="http://schemas.openxmlformats.org/officeDocument/2006/relationships">
  <dimension ref="A1:G26"/>
  <sheetViews>
    <sheetView workbookViewId="0"/>
  </sheetViews>
  <cols>
    <col min="1" max="1" width="30.83203125" customWidth="1"/>
    <col min="2" max="2" width="40.83203125" customWidth="1"/>
    <col min="3" max="3" width="12.83203125" customWidth="1"/>
    <col min="4" max="4" width="10.83203125" customWidth="1"/>
    <col min="5" max="5" width="70.83203125" customWidth="1"/>
    <col min="6" max="6" width="60.83203125" customWidth="1"/>
    <col min="7" max="7" width="12.83203125" customWidth="1"/>
  </cols>
  <sheetData>
    <row r="1">
      <c r="A1" s="3" t="str">
        <v>Parámetros de cálculo (Nivel A)</v>
      </c>
    </row>
    <row r="2">
      <c r="A2" s="11" t="str">
        <v>ID</v>
      </c>
      <c r="B2" s="11" t="str">
        <v>Nombre</v>
      </c>
      <c r="C2" s="11" t="str">
        <v>Valor</v>
      </c>
      <c r="D2" s="11" t="str">
        <v>Unidad</v>
      </c>
      <c r="E2" s="11" t="str">
        <v>Descripción</v>
      </c>
      <c r="F2" s="11" t="str">
        <v>Fuente / justificación</v>
      </c>
      <c r="G2" s="11" t="str">
        <v>Fecha ref.</v>
      </c>
    </row>
    <row r="3">
      <c r="A3" s="2" t="str">
        <v>tasa_impuesto_utilidades</v>
      </c>
      <c r="B3" s="2" t="str">
        <v>Tasa del impuesto sobre utilidades (demostrativa)</v>
      </c>
      <c r="C3" s="15">
        <v>0.35</v>
      </c>
      <c r="D3" s="2" t="str">
        <v>%</v>
      </c>
      <c r="E3" s="2" t="str">
        <v>Tasa aplicada a la utilidad antes de impuestos en la regla de demostración. Valor inicial 35 %, editable. No implica que sea la tasa legal vigente ni sustituye las reglas tributarias del negocio real.</v>
      </c>
      <c r="F3" s="2" t="str">
        <v>Supuesto de demostración editable. No constituye la tasa legal aplicable al negocio real: documente la fuente normativa y las condiciones antes de un uso oficial. [SUPUESTO DEMOSTRATIVO]</v>
      </c>
    </row>
    <row r="4">
      <c r="A4" s="2" t="str">
        <v>tipo_cambio</v>
      </c>
      <c r="B4" s="2" t="str">
        <v>Tipo de cambio (CUP por USD)</v>
      </c>
      <c r="C4" s="16">
        <v>400</v>
      </c>
      <c r="D4" s="2" t="str">
        <v>CUP/USD</v>
      </c>
      <c r="E4" s="2" t="str">
        <v>Tasa de conversión utilizada para expresar en miles de USD los montos en CUP (salarios, inversiones).</v>
      </c>
      <c r="F4" s="2" t="str">
        <v>Supuesto de demostración editable (referencia ilustrativa). [SUPUESTO DEMOSTRATIVO]</v>
      </c>
      <c r="G4" s="2" t="str">
        <v>2026-10-01</v>
      </c>
    </row>
    <row r="5">
      <c r="A5" s="2" t="str">
        <v>tasa_interes</v>
      </c>
      <c r="B5" s="2" t="str">
        <v>Tasa de interés anual del crédito</v>
      </c>
      <c r="C5" s="17">
        <v>0.08</v>
      </c>
      <c r="D5" s="2" t="str">
        <v>%</v>
      </c>
      <c r="E5" s="2" t="str">
        <v>Interés nominal anual del crédito externo previsto.</v>
      </c>
      <c r="F5" s="2" t="str">
        <v>Supuesto editable según condiciones reales del financiamiento.</v>
      </c>
    </row>
    <row r="6">
      <c r="A6" s="2" t="str">
        <v>plazo_amortizacion</v>
      </c>
      <c r="B6" s="2" t="str">
        <v>Plazo de amortización del crédito</v>
      </c>
      <c r="C6" s="18">
        <v>5</v>
      </c>
      <c r="D6" s="2" t="str">
        <v>años</v>
      </c>
      <c r="E6" s="2" t="str">
        <v>Número de anualidades de amortización del principal tras el período de gracia.</v>
      </c>
      <c r="F6" s="2" t="str">
        <v>Supuesto editable.</v>
      </c>
    </row>
    <row r="7">
      <c r="A7" s="2" t="str">
        <v>periodo_gracia</v>
      </c>
      <c r="B7" s="2" t="str">
        <v>Período de gracia del crédito</v>
      </c>
      <c r="C7" s="18">
        <v>1</v>
      </c>
      <c r="D7" s="2" t="str">
        <v>años</v>
      </c>
      <c r="E7" s="2" t="str">
        <v>Años iniciales del crédito en los que no se amortiza principal (solo intereses).</v>
      </c>
      <c r="F7" s="2" t="str">
        <v>Supuesto editable.</v>
      </c>
    </row>
    <row r="8">
      <c r="A8" s="2" t="str">
        <v>inflacion</v>
      </c>
      <c r="B8" s="2" t="str">
        <v>Inflación prevista (costos)</v>
      </c>
      <c r="C8" s="17">
        <v>0.04</v>
      </c>
      <c r="D8" s="2" t="str">
        <v>%</v>
      </c>
      <c r="E8" s="2" t="str">
        <v>Crecimiento anual aplicado a los costos variables unitarios de los servicios.</v>
      </c>
      <c r="F8" s="2" t="str">
        <v>Supuesto editable.</v>
      </c>
    </row>
    <row r="9">
      <c r="A9" s="2" t="str">
        <v>crecimiento_precios</v>
      </c>
      <c r="B9" s="2" t="str">
        <v>Crecimiento anual de precios</v>
      </c>
      <c r="C9" s="17">
        <v>0.03</v>
      </c>
      <c r="D9" s="2" t="str">
        <v>%</v>
      </c>
      <c r="E9" s="2" t="str">
        <v>Variación anual prevista de los precios unitarios de los servicios.</v>
      </c>
      <c r="F9" s="2" t="str">
        <v>Supuesto editable.</v>
      </c>
    </row>
    <row r="10">
      <c r="A10" s="2" t="str">
        <v>crecimiento_volumen</v>
      </c>
      <c r="B10" s="2" t="str">
        <v>Variación anual del volumen (pacientes)</v>
      </c>
      <c r="C10" s="17">
        <v>0.05</v>
      </c>
      <c r="D10" s="2" t="str">
        <v>%</v>
      </c>
      <c r="E10" s="2" t="str">
        <v>Crecimiento anual previsto de la cantidad de servicios demandados.</v>
      </c>
      <c r="F10" s="2" t="str">
        <v>Supuesto editable.</v>
      </c>
    </row>
    <row r="11">
      <c r="A11" s="2" t="str">
        <v>crecimiento_salarios</v>
      </c>
      <c r="B11" s="2" t="str">
        <v>Crecimiento anual de salarios</v>
      </c>
      <c r="C11" s="17">
        <v>0.05</v>
      </c>
      <c r="D11" s="2" t="str">
        <v>%</v>
      </c>
      <c r="E11" s="2" t="str">
        <v>Crecimiento anual previsto del salario promedio en CUP.</v>
      </c>
      <c r="F11" s="2" t="str">
        <v>Supuesto editable.</v>
      </c>
    </row>
    <row r="12">
      <c r="A12" s="2" t="str">
        <v>pct_gastos_admin</v>
      </c>
      <c r="B12" s="2" t="str">
        <v>Gastos administrativos (% de los ingresos)</v>
      </c>
      <c r="C12" s="17">
        <v>0.05</v>
      </c>
      <c r="D12" s="2" t="str">
        <v>%</v>
      </c>
      <c r="E12" s="2" t="str">
        <v>Porcentaje de los ingresos totales destinado a gastos administrativos.</v>
      </c>
      <c r="F12" s="2" t="str">
        <v>Supuesto editable.</v>
      </c>
    </row>
    <row r="13">
      <c r="A13" s="2" t="str">
        <v>pct_mantenimiento</v>
      </c>
      <c r="B13" s="2" t="str">
        <v>Mantenimiento (% de la inversión fija)</v>
      </c>
      <c r="C13" s="17">
        <v>0.03</v>
      </c>
      <c r="D13" s="2" t="str">
        <v>%</v>
      </c>
      <c r="E13" s="2" t="str">
        <v>Porcentaje de la inversión fija destinado anualmente a mantenimiento.</v>
      </c>
      <c r="F13" s="2" t="str">
        <v>Supuesto editable.</v>
      </c>
    </row>
    <row r="14">
      <c r="A14" s="2" t="str">
        <v>factor_costo_laboral</v>
      </c>
      <c r="B14" s="2" t="str">
        <v>Factor de costo laboral</v>
      </c>
      <c r="C14" s="16">
        <v>1</v>
      </c>
      <c r="D14" s="2" t="str">
        <v>×</v>
      </c>
      <c r="E14" s="2" t="str">
        <v>Multiplicador sobre los salarios para reflejar contribuciones y cargas del empleador (1.0 = solo salarios).</v>
      </c>
      <c r="F14" s="2" t="str">
        <v>Supuesto editable. Validar el tratamiento aplicable.</v>
      </c>
    </row>
    <row r="15">
      <c r="A15" s="2" t="str">
        <v>pct_parte_cubana</v>
      </c>
      <c r="B15" s="2" t="str">
        <v>Participación de la parte cubana</v>
      </c>
      <c r="C15" s="17">
        <v>0.4</v>
      </c>
      <c r="D15" s="2" t="str">
        <v>%</v>
      </c>
      <c r="E15" s="2" t="str">
        <v>Porcentaje del capital social aportado por el socio nacional (base del reparto de dividendos).</v>
      </c>
      <c r="F15" s="2" t="str">
        <v>Supuesto editable según estructura acordada.</v>
      </c>
    </row>
    <row r="16">
      <c r="A16" s="2" t="str">
        <v>pct_reparto_dividendos</v>
      </c>
      <c r="B16" s="2" t="str">
        <v>Reparto de dividendos (% de la utilidad neta)</v>
      </c>
      <c r="C16" s="17">
        <v>0.5</v>
      </c>
      <c r="D16" s="2" t="str">
        <v>%</v>
      </c>
      <c r="E16" s="2" t="str">
        <v>Porcentaje de la utilidad después de impuestos que se prevé distribuir entre los socios.</v>
      </c>
      <c r="F16" s="2" t="str">
        <v>Supuesto editable.</v>
      </c>
    </row>
    <row r="17">
      <c r="A17" s="2" t="str">
        <v>servicios_publicos_anual_k</v>
      </c>
      <c r="B17" s="2" t="str">
        <v>Servicios públicos anuales</v>
      </c>
      <c r="C17" s="16">
        <v>40</v>
      </c>
      <c r="D17" s="2" t="str">
        <v>kUSD/año</v>
      </c>
      <c r="E17" s="2" t="str">
        <v>Agua, electricidad y portadores energéticos por año (miles de USD).</v>
      </c>
      <c r="F17" s="2" t="str">
        <v>Supuesto editable.</v>
      </c>
    </row>
    <row r="18">
      <c r="A18" s="2" t="str">
        <v>canon_anual_k</v>
      </c>
      <c r="B18" s="2" t="str">
        <v>Canon anual</v>
      </c>
      <c r="C18" s="16">
        <v>30</v>
      </c>
      <c r="D18" s="2" t="str">
        <v>kUSD/año</v>
      </c>
      <c r="E18" s="2" t="str">
        <v>Pago anual por el derecho de uso del suelo/instalaciones (miles de USD).</v>
      </c>
      <c r="F18" s="2" t="str">
        <v>Supuesto editable según contrato.</v>
      </c>
    </row>
    <row r="19">
      <c r="A19" s="2" t="str">
        <v>otros_gastos_fijos_k</v>
      </c>
      <c r="B19" s="2" t="str">
        <v>Otros gastos fijos anuales</v>
      </c>
      <c r="C19" s="16">
        <v>10</v>
      </c>
      <c r="D19" s="2" t="str">
        <v>kUSD/año</v>
      </c>
      <c r="E19" s="2" t="str">
        <v>Gastos fijos no incluidos en otras partidas (seguros, comunicaciones, otros) en miles de USD.</v>
      </c>
      <c r="F19" s="2" t="str">
        <v>Supuesto editable.</v>
      </c>
    </row>
    <row r="20">
      <c r="A20" s="2" t="str">
        <v>credito_monto_k</v>
      </c>
      <c r="B20" s="2" t="str">
        <v>Monto del crédito externo</v>
      </c>
      <c r="C20" s="16">
        <v>300</v>
      </c>
      <c r="D20" s="2" t="str">
        <v>kUSD</v>
      </c>
      <c r="E20" s="2" t="str">
        <v>Principal del crédito externo previsto (miles de USD).</v>
      </c>
      <c r="F20" s="2" t="str">
        <v>Supuesto editable.</v>
      </c>
    </row>
    <row r="21">
      <c r="A21" s="2" t="str">
        <v>otras_fuentes_k</v>
      </c>
      <c r="B21" s="2" t="str">
        <v>Otras fuentes de financiamiento</v>
      </c>
      <c r="C21" s="16">
        <v>0</v>
      </c>
      <c r="D21" s="2" t="str">
        <v>kUSD</v>
      </c>
      <c r="E21" s="2" t="str">
        <v>Fuentes disponibles distintas de aportaciones y crédito (miles de USD).</v>
      </c>
      <c r="F21" s="2" t="str">
        <v>Supuesto editable.</v>
      </c>
    </row>
    <row r="22">
      <c r="A22" s="2" t="str">
        <v>capital_trabajo_k</v>
      </c>
      <c r="B22" s="2" t="str">
        <v>Capital de trabajo inicial</v>
      </c>
      <c r="C22" s="16">
        <v>235</v>
      </c>
      <c r="D22" s="2" t="str">
        <v>kUSD</v>
      </c>
      <c r="E22" s="2" t="str">
        <v>Capital de trabajo dentro del costo total de la inversión inicial (miles de USD).</v>
      </c>
      <c r="F22" s="2" t="str">
        <v>Supuesto editable.</v>
      </c>
    </row>
    <row r="23">
      <c r="A23" s="2" t="str">
        <v>aranceles_anual_k</v>
      </c>
      <c r="B23" s="2" t="str">
        <v>Aranceles anuales</v>
      </c>
      <c r="C23" s="16">
        <v>8</v>
      </c>
      <c r="D23" s="2" t="str">
        <v>kUSD/año</v>
      </c>
      <c r="E23" s="2" t="str">
        <v>Derechos aduaneros previstos por año (miles de USD).</v>
      </c>
      <c r="F23" s="2" t="str">
        <v>Supuesto editable.</v>
      </c>
    </row>
    <row r="24">
      <c r="A24" s="2" t="str">
        <v>otros_impuestos_anual_k</v>
      </c>
      <c r="B24" s="2" t="str">
        <v>Otros impuestos y tasas anuales</v>
      </c>
      <c r="C24" s="16">
        <v>5</v>
      </c>
      <c r="D24" s="2" t="str">
        <v>kUSD/año</v>
      </c>
      <c r="E24" s="2" t="str">
        <v>Impuestos, tasas y contribuciones distintas del impuesto sobre utilidades (miles de USD).</v>
      </c>
      <c r="F24" s="2" t="str">
        <v>Supuesto editable.</v>
      </c>
    </row>
    <row r="25">
      <c r="A25" s="2" t="str">
        <v>royalties_anual_k</v>
      </c>
      <c r="B25" s="2" t="str">
        <v>Royalties anuales</v>
      </c>
      <c r="C25" s="16">
        <v>0</v>
      </c>
      <c r="D25" s="2" t="str">
        <v>kUSD/año</v>
      </c>
      <c r="E25" s="2" t="str">
        <v>Pagos anuales por regalías tecnológicas o de marca al país (miles de USD).</v>
      </c>
      <c r="F25" s="2" t="str">
        <v>Supuesto editable.</v>
      </c>
    </row>
    <row r="26">
      <c r="A26" s="2" t="str">
        <v>otros_beneficios_pais_k</v>
      </c>
      <c r="B26" s="2" t="str">
        <v>Otros ingresos anuales al país</v>
      </c>
      <c r="C26" s="16">
        <v>0</v>
      </c>
      <c r="D26" s="2" t="str">
        <v>kUSD/año</v>
      </c>
      <c r="E26" s="2" t="str">
        <v>Otros aportes directos al país no contemplados en las partidas anteriores (miles de USD).</v>
      </c>
      <c r="F26" s="2" t="str">
        <v>Supuesto editable.</v>
      </c>
    </row>
  </sheetData>
  <ignoredErrors>
    <ignoredError numberStoredAsText="1" sqref="A1:G26"/>
  </ignoredErrors>
</worksheet>
</file>

<file path=xl/worksheets/sheet4.xml><?xml version="1.0" encoding="utf-8"?>
<worksheet xmlns="http://schemas.openxmlformats.org/spreadsheetml/2006/main" xmlns:r="http://schemas.openxmlformats.org/officeDocument/2006/relationships">
  <dimension ref="A1:G26"/>
  <sheetViews>
    <sheetView workbookViewId="0"/>
  </sheetViews>
  <cols>
    <col min="1" max="1" width="52.83203125" customWidth="1"/>
    <col min="2" max="2" width="16.83203125" customWidth="1"/>
    <col min="3" max="3" width="10.83203125" customWidth="1"/>
    <col min="4" max="4" width="12.83203125" customWidth="1"/>
    <col min="5" max="5" width="14.83203125" customWidth="1"/>
    <col min="6" max="6" width="12.83203125" customWidth="1"/>
    <col min="7" max="7" width="40.83203125" customWidth="1"/>
  </cols>
  <sheetData>
    <row r="1">
      <c r="A1" s="3" t="str">
        <v>Inversiones (4.10) — detalle</v>
      </c>
    </row>
    <row r="3">
      <c r="A3" s="11" t="str">
        <v>Concepto</v>
      </c>
      <c r="B3" s="11" t="str">
        <v>Categoría</v>
      </c>
      <c r="C3" s="11" t="str">
        <v>Moneda</v>
      </c>
      <c r="D3" s="11" t="str">
        <v>Monto</v>
      </c>
      <c r="E3" s="11" t="str">
        <v>Vida útil (años)</v>
      </c>
      <c r="F3" s="11" t="str">
        <v>Dep. anual</v>
      </c>
      <c r="G3" s="11" t="str">
        <v>Observación</v>
      </c>
    </row>
    <row r="4">
      <c r="A4" s="16" t="str">
        <v>Estudios de factibilidad y gastos de constitución</v>
      </c>
      <c r="B4" s="16" t="str">
        <v>gastos_previos</v>
      </c>
      <c r="C4" s="16" t="str">
        <v>USD</v>
      </c>
      <c r="D4" s="16">
        <v>25</v>
      </c>
      <c r="E4" s="19">
        <v>0</v>
      </c>
      <c r="F4" s="6">
        <f>=IF(AND(B4="inversion_fija",E4&gt;0),D4/E4,0)</f>
        <v>0</v>
      </c>
      <c r="G4" s="2" t="str">
        <v>Ficticio</v>
      </c>
    </row>
    <row r="5">
      <c r="A5" s="19" t="str">
        <v>Licencias, registros y autorizaciones sanitarias</v>
      </c>
      <c r="B5" s="19" t="str">
        <v>gastos_previos</v>
      </c>
      <c r="C5" s="19" t="str">
        <v>USD</v>
      </c>
      <c r="D5" s="16">
        <v>12</v>
      </c>
      <c r="E5" s="19">
        <v>0</v>
      </c>
      <c r="F5" s="6">
        <f>=IF(AND(B5="inversion_fija",E5&gt;0),D5/E5,0)</f>
        <v>0</v>
      </c>
      <c r="G5" s="2" t="str">
        <v>Ficticio</v>
      </c>
    </row>
    <row r="6">
      <c r="A6" s="19" t="str">
        <v>Gastos de puesta en marcha y capacitación inicial</v>
      </c>
      <c r="B6" s="19" t="str">
        <v>gastos_previos</v>
      </c>
      <c r="C6" s="19" t="str">
        <v>USD</v>
      </c>
      <c r="D6" s="16">
        <v>8</v>
      </c>
      <c r="E6" s="19">
        <v>0</v>
      </c>
      <c r="F6" s="6">
        <f>=IF(AND(B6="inversion_fija",E6&gt;0),D6/E6,0)</f>
        <v>0</v>
      </c>
      <c r="G6" s="2" t="str">
        <v>Ficticio</v>
      </c>
    </row>
    <row r="7">
      <c r="A7" s="19" t="str">
        <v>Equipamiento clínico (5 sillones e instrumental)</v>
      </c>
      <c r="B7" s="19" t="str">
        <v>inversion_fija</v>
      </c>
      <c r="C7" s="19" t="str">
        <v>USD</v>
      </c>
      <c r="D7" s="16">
        <v>520</v>
      </c>
      <c r="E7" s="19">
        <v>10</v>
      </c>
      <c r="F7" s="6">
        <f>=IF(AND(B7="inversion_fija",E7&gt;0),D7/E7,0)</f>
        <v>52</v>
      </c>
      <c r="G7" s="2" t="str">
        <v>Ficticio</v>
      </c>
    </row>
    <row r="8">
      <c r="A8" s="19" t="str">
        <v>Equipos de imagenología dental (2)</v>
      </c>
      <c r="B8" s="19" t="str">
        <v>inversion_fija</v>
      </c>
      <c r="C8" s="19" t="str">
        <v>USD</v>
      </c>
      <c r="D8" s="16">
        <v>180</v>
      </c>
      <c r="E8" s="19">
        <v>10</v>
      </c>
      <c r="F8" s="6">
        <f>=IF(AND(B8="inversion_fija",E8&gt;0),D8/E8,0)</f>
        <v>18</v>
      </c>
      <c r="G8" s="2" t="str">
        <v>Ficticio</v>
      </c>
    </row>
    <row r="9">
      <c r="A9" s="19" t="str">
        <v>Laboratorio de prótesis</v>
      </c>
      <c r="B9" s="19" t="str">
        <v>inversion_fija</v>
      </c>
      <c r="C9" s="19" t="str">
        <v>USD</v>
      </c>
      <c r="D9" s="16">
        <v>95</v>
      </c>
      <c r="E9" s="19">
        <v>10</v>
      </c>
      <c r="F9" s="6">
        <f>=IF(AND(B9="inversion_fija",E9&gt;0),D9/E9,0)</f>
        <v>9.5</v>
      </c>
      <c r="G9" s="2" t="str">
        <v>Ficticio</v>
      </c>
    </row>
    <row r="10">
      <c r="A10" s="19" t="str">
        <v>Equipamiento de esterilización y compresores</v>
      </c>
      <c r="B10" s="19" t="str">
        <v>inversion_fija</v>
      </c>
      <c r="C10" s="19" t="str">
        <v>USD</v>
      </c>
      <c r="D10" s="16">
        <v>85</v>
      </c>
      <c r="E10" s="19">
        <v>10</v>
      </c>
      <c r="F10" s="6">
        <f>=IF(AND(B10="inversion_fija",E10&gt;0),D10/E10,0)</f>
        <v>8.5</v>
      </c>
      <c r="G10" s="2" t="str">
        <v>Ficticio</v>
      </c>
    </row>
    <row r="11">
      <c r="A11" s="19" t="str">
        <v>Mobiliario clínico y de oficina</v>
      </c>
      <c r="B11" s="19" t="str">
        <v>inversion_fija</v>
      </c>
      <c r="C11" s="19" t="str">
        <v>USD</v>
      </c>
      <c r="D11" s="16">
        <v>60</v>
      </c>
      <c r="E11" s="19">
        <v>8</v>
      </c>
      <c r="F11" s="6">
        <f>=IF(AND(B11="inversion_fija",E11&gt;0),D11/E11,0)</f>
        <v>7.5</v>
      </c>
      <c r="G11" s="2" t="str">
        <v>Ficticio</v>
      </c>
    </row>
    <row r="12">
      <c r="A12" s="19" t="str">
        <v>Informática y software de gestión clínica</v>
      </c>
      <c r="B12" s="19" t="str">
        <v>inversion_fija</v>
      </c>
      <c r="C12" s="19" t="str">
        <v>USD</v>
      </c>
      <c r="D12" s="16">
        <v>35</v>
      </c>
      <c r="E12" s="19">
        <v>5</v>
      </c>
      <c r="F12" s="6">
        <f>=IF(AND(B12="inversion_fija",E12&gt;0),D12/E12,0)</f>
        <v>7</v>
      </c>
      <c r="G12" s="2" t="str">
        <v>Ficticio</v>
      </c>
    </row>
    <row r="13">
      <c r="A13" s="19" t="str">
        <v>Adecuación y montaje de instalaciones</v>
      </c>
      <c r="B13" s="19" t="str">
        <v>inversion_fija</v>
      </c>
      <c r="C13" s="19" t="str">
        <v>USD</v>
      </c>
      <c r="D13" s="16">
        <v>180</v>
      </c>
      <c r="E13" s="19">
        <v>20</v>
      </c>
      <c r="F13" s="6">
        <f>=IF(AND(B13="inversion_fija",E13&gt;0),D13/E13,0)</f>
        <v>9</v>
      </c>
      <c r="G13" s="2" t="str">
        <v>Ficticio</v>
      </c>
    </row>
    <row r="14">
      <c r="A14" s="19" t="str">
        <v>Vehículos (ver desglose)</v>
      </c>
      <c r="B14" s="19" t="str">
        <v>inversion_fija</v>
      </c>
      <c r="C14" s="19" t="str">
        <v>USD</v>
      </c>
      <c r="D14" s="16">
        <v>45</v>
      </c>
      <c r="E14" s="19">
        <v>8</v>
      </c>
      <c r="F14" s="6">
        <f>=IF(AND(B14="inversion_fija",E14&gt;0),D14/E14,0)</f>
        <v>5.625</v>
      </c>
      <c r="G14" s="2" t="str">
        <v>Ficticio</v>
      </c>
    </row>
    <row r="16">
      <c r="A16" s="20" t="str">
        <v>Subtotal gastos previos (USD)</v>
      </c>
      <c r="D16" s="21">
        <f>=SUMIFS($D$4:$D$14,$B$4:$B$14,"gastos_previos",$C$4:$C$14,"USD")</f>
        <v>0</v>
      </c>
    </row>
    <row r="17">
      <c r="A17" s="22" t="str">
        <v>Subtotal inversión fija (USD)</v>
      </c>
      <c r="D17" s="21">
        <f>=SUMIFS($D$4:$D$14,$B$4:$B$14,"inversion_fija",$C$4:$C$14,"USD")</f>
        <v>0</v>
      </c>
    </row>
    <row r="18">
      <c r="A18" s="22" t="str">
        <v>Subtotal inversión fija (CUP)</v>
      </c>
      <c r="D18" s="21">
        <f>=SUMIFS($D$4:$D$14,$B$4:$B$14,"inversion_fija",$C$4:$C$14,"CUP")</f>
        <v>0</v>
      </c>
    </row>
    <row r="19">
      <c r="A19" s="22" t="str">
        <v>Capital de trabajo (parámetro)</v>
      </c>
      <c r="D19" s="21">
        <f>=Parametros!$C$22</f>
        <v>235</v>
      </c>
    </row>
    <row r="20">
      <c r="A20" s="22" t="str">
        <v>INVERSIÓN TOTAL (regla del motor)</v>
      </c>
      <c r="D20" s="21">
        <f>=Financiacion!$D$8</f>
        <v>1480</v>
      </c>
    </row>
    <row r="22">
      <c r="A22" s="3" t="str">
        <v>Desglose de vehículos</v>
      </c>
    </row>
    <row r="23">
      <c r="A23" s="11" t="str">
        <v>Tipo</v>
      </c>
      <c r="B23" s="11" t="str">
        <v>Cantidad</v>
      </c>
      <c r="C23" s="11" t="str">
        <v>Monto (kUSD)</v>
      </c>
    </row>
    <row r="24">
      <c r="A24" s="19" t="str">
        <v>Automóvil ligero (dirección y gestión)</v>
      </c>
      <c r="B24" s="19">
        <v>1</v>
      </c>
      <c r="C24" s="16">
        <v>25</v>
      </c>
    </row>
    <row r="25">
      <c r="A25" s="16" t="str">
        <v>Microbús (transporte de personal y pacientes)</v>
      </c>
      <c r="B25" s="19">
        <v>1</v>
      </c>
      <c r="C25" s="16">
        <v>20</v>
      </c>
    </row>
    <row r="26">
      <c r="A26" s="22" t="str">
        <v>Total vehículos</v>
      </c>
      <c r="C26" s="21">
        <f>=SUM(C24:C25)</f>
        <v>45</v>
      </c>
    </row>
  </sheetData>
  <autoFilter ref="A3:G14"/>
  <ignoredErrors>
    <ignoredError numberStoredAsText="1" sqref="A1:G26"/>
  </ignoredErrors>
</worksheet>
</file>

<file path=xl/worksheets/sheet5.xml><?xml version="1.0" encoding="utf-8"?>
<worksheet xmlns="http://schemas.openxmlformats.org/spreadsheetml/2006/main" xmlns:r="http://schemas.openxmlformats.org/officeDocument/2006/relationships">
  <dimension ref="A1:G9"/>
  <sheetViews>
    <sheetView workbookViewId="0"/>
  </sheetViews>
  <cols>
    <col min="1" max="1" width="14.83203125" customWidth="1"/>
    <col min="2" max="2" width="26.83203125" customWidth="1"/>
    <col min="3" max="3" width="12.83203125" customWidth="1"/>
    <col min="4" max="4" width="12.83203125" customWidth="1"/>
    <col min="5" max="5" width="12.83203125" customWidth="1"/>
    <col min="6" max="6" width="12.83203125" customWidth="1"/>
    <col min="7" max="7" width="60.83203125" customWidth="1"/>
  </cols>
  <sheetData>
    <row r="1">
      <c r="A1" s="3" t="str">
        <v>Aportaciones de los socios (4.5) — miles de USD con un decimal</v>
      </c>
    </row>
    <row r="3">
      <c r="A3" s="11" t="str">
        <v>Socio</v>
      </c>
      <c r="B3" s="11" t="str">
        <v>Tipo de aporte</v>
      </c>
      <c r="C3" s="11" t="str">
        <v>Año 1</v>
      </c>
      <c r="D3" s="11" t="str">
        <v>Año 2</v>
      </c>
      <c r="E3" s="11" t="str">
        <v>Año 3</v>
      </c>
      <c r="F3" s="11" t="str">
        <v>Total</v>
      </c>
      <c r="G3" s="11" t="str">
        <v>Referencia documental</v>
      </c>
    </row>
    <row r="4">
      <c r="A4" s="16" t="str">
        <v>Extranjero</v>
      </c>
      <c r="B4" s="16" t="str">
        <v>efectivo</v>
      </c>
      <c r="C4" s="16">
        <v>420</v>
      </c>
      <c r="D4" s="16">
        <v>0</v>
      </c>
      <c r="E4" s="16">
        <v>0</v>
      </c>
      <c r="F4" s="6">
        <f>=SUM(C4:E4)</f>
        <v>420</v>
      </c>
    </row>
    <row r="5">
      <c r="A5" s="16" t="str">
        <v>Extranjero</v>
      </c>
      <c r="B5" s="16" t="str">
        <v>activos_fijos_tangibles</v>
      </c>
      <c r="C5" s="16">
        <v>288</v>
      </c>
      <c r="D5" s="16">
        <v>0</v>
      </c>
      <c r="E5" s="16">
        <v>0</v>
      </c>
      <c r="F5" s="6">
        <f>=SUM(C5:E5)</f>
        <v>288</v>
      </c>
      <c r="G5" s="2" t="str">
        <v>Equipamiento dental e imagenología nuevos (factura proforma ilustrativa)</v>
      </c>
    </row>
    <row r="6">
      <c r="A6" s="16" t="str">
        <v>Nacional</v>
      </c>
      <c r="B6" s="16" t="str">
        <v>activos_fijos_tangibles</v>
      </c>
      <c r="C6" s="16">
        <v>180</v>
      </c>
      <c r="D6" s="16">
        <v>0</v>
      </c>
      <c r="E6" s="16">
        <v>0</v>
      </c>
      <c r="F6" s="6">
        <f>=SUM(C6:E6)</f>
        <v>180</v>
      </c>
      <c r="G6" s="2" t="str">
        <v>Instalaciones adecuadas y montadas (avalúo ilustrativo)</v>
      </c>
    </row>
    <row r="7">
      <c r="A7" s="16" t="str">
        <v>Nacional</v>
      </c>
      <c r="B7" s="16" t="str">
        <v>activos_circulantes</v>
      </c>
      <c r="C7" s="16">
        <v>152</v>
      </c>
      <c r="D7" s="16">
        <v>0</v>
      </c>
      <c r="E7" s="16">
        <v>0</v>
      </c>
      <c r="F7" s="6">
        <f>=SUM(C7:E7)</f>
        <v>152</v>
      </c>
      <c r="G7" s="2" t="str">
        <v>Inventario inicial de materiales y consumibles (ilustrativo)</v>
      </c>
    </row>
    <row r="8">
      <c r="A8" s="16" t="str">
        <v>Nacional</v>
      </c>
      <c r="B8" s="16" t="str">
        <v>efectivo</v>
      </c>
      <c r="C8" s="16">
        <v>140</v>
      </c>
      <c r="D8" s="16">
        <v>0</v>
      </c>
      <c r="E8" s="16">
        <v>0</v>
      </c>
      <c r="F8" s="6">
        <f>=SUM(C8:E8)</f>
        <v>140</v>
      </c>
    </row>
    <row r="9">
      <c r="A9" s="22" t="str">
        <v>TOTAL</v>
      </c>
      <c r="C9" s="21">
        <f>=SUM(C4:C8)</f>
        <v>1180</v>
      </c>
      <c r="D9" s="21">
        <f>=SUM(D4:D8)</f>
        <v>0</v>
      </c>
      <c r="E9" s="21">
        <f>=SUM(E4:E8)</f>
        <v>0</v>
      </c>
      <c r="F9" s="21">
        <f>=SUM(F4:F8)</f>
        <v>1180</v>
      </c>
    </row>
  </sheetData>
  <ignoredErrors>
    <ignoredError numberStoredAsText="1" sqref="A1:G9"/>
  </ignoredErrors>
</worksheet>
</file>

<file path=xl/worksheets/sheet6.xml><?xml version="1.0" encoding="utf-8"?>
<worksheet xmlns="http://schemas.openxmlformats.org/spreadsheetml/2006/main" xmlns:r="http://schemas.openxmlformats.org/officeDocument/2006/relationships">
  <dimension ref="A1:D18"/>
  <sheetViews>
    <sheetView workbookViewId="0"/>
  </sheetViews>
  <cols>
    <col min="1" max="1" width="48.83203125" customWidth="1"/>
    <col min="2" max="2" width="10.83203125" customWidth="1"/>
    <col min="3" max="3" width="4.83203125" customWidth="1"/>
    <col min="4" max="4" width="14.83203125" customWidth="1"/>
  </cols>
  <sheetData>
    <row r="1">
      <c r="A1" s="3" t="str">
        <v>Fuentes de financiamiento y partidas de proyecto (4.7)</v>
      </c>
    </row>
    <row r="3">
      <c r="A3" s="2" t="str">
        <v>Gastos previos (USD)</v>
      </c>
      <c r="B3" s="2" t="str">
        <v>kUSD</v>
      </c>
      <c r="D3" s="6">
        <f>=SUMIFS(Inversion!$D$4:$D$14,Inversion!$B$4:$B$14,"gastos_previos",Inversion!$C$4:$C$14,"USD")</f>
        <v>45</v>
      </c>
    </row>
    <row r="4">
      <c r="A4" s="2" t="str">
        <v>Inversión fija en USD</v>
      </c>
      <c r="B4" s="2" t="str">
        <v>kUSD</v>
      </c>
      <c r="D4" s="6">
        <f>=SUMIFS(Inversion!$D$4:$D$14,Inversion!$B$4:$B$14,"inversion_fija",Inversion!$C$4:$C$14,"USD")</f>
        <v>1200</v>
      </c>
    </row>
    <row r="5">
      <c r="A5" s="2" t="str">
        <v>Inversión fija en CUP (convertida)</v>
      </c>
      <c r="B5" s="2" t="str">
        <v>kUSD</v>
      </c>
      <c r="D5" s="6">
        <f>=(SUMIFS(Inversion!$D$4:$D$14,Inversion!$B$4:$B$14,"inversion_fija",Inversion!$C$4:$C$14,"CUP")/Parametros!$C$4)</f>
        <v>0</v>
      </c>
    </row>
    <row r="6">
      <c r="A6" s="2" t="str">
        <v>Inversión fija total</v>
      </c>
      <c r="B6" s="2" t="str">
        <v>kUSD</v>
      </c>
      <c r="D6" s="6">
        <f>=(Parametros!$C$2+Parametros!$C$2)</f>
        <v>1200</v>
      </c>
    </row>
    <row r="7">
      <c r="A7" s="2" t="str">
        <v>Capital de trabajo</v>
      </c>
      <c r="B7" s="2" t="str">
        <v>kUSD</v>
      </c>
      <c r="D7" s="6">
        <f>=Parametros!$C$22</f>
        <v>235</v>
      </c>
    </row>
    <row r="8">
      <c r="A8" s="22" t="str">
        <v>COSTO TOTAL DE LA INVERSIÓN INICIAL</v>
      </c>
      <c r="B8" s="2" t="str">
        <v>kUSD</v>
      </c>
      <c r="D8" s="21">
        <f>=((Parametros!$C$2+Parametros!$C$2)+Parametros!$C$22)</f>
        <v>1480</v>
      </c>
    </row>
    <row r="10">
      <c r="A10" s="2" t="str">
        <v>Total de aportaciones de los socios</v>
      </c>
      <c r="B10" s="2" t="str">
        <v>kUSD</v>
      </c>
      <c r="D10" s="6">
        <f>=SUM(Aportaciones!$F$4:$F$8)</f>
        <v>1180</v>
      </c>
    </row>
    <row r="11">
      <c r="A11" s="2" t="str">
        <v>Otras fuentes disponibles</v>
      </c>
      <c r="B11" s="2" t="str">
        <v>kUSD</v>
      </c>
      <c r="D11" s="6">
        <f>=Parametros!$C$21</f>
        <v>0</v>
      </c>
    </row>
    <row r="12">
      <c r="A12" s="2" t="str">
        <v>Crédito externo</v>
      </c>
      <c r="B12" s="2" t="str">
        <v>kUSD</v>
      </c>
      <c r="D12" s="6">
        <f>=Parametros!$C$20</f>
        <v>300</v>
      </c>
    </row>
    <row r="13">
      <c r="A13" s="22" t="str">
        <v>FINANCIACIÓN DISPONIBLE</v>
      </c>
      <c r="B13" s="2" t="str">
        <v>kUSD</v>
      </c>
      <c r="D13" s="21">
        <f>=((Parametros!$C$2+Parametros!$C$21)+Parametros!$C$20)</f>
        <v>1480</v>
      </c>
    </row>
    <row r="14">
      <c r="A14" s="2" t="str">
        <v>Necesidad de financiación</v>
      </c>
      <c r="B14" s="2" t="str">
        <v>kUSD</v>
      </c>
      <c r="D14" s="6">
        <f>=((Parametros!$C$2-Parametros!$C$2)-Parametros!$C$21)</f>
        <v>300</v>
      </c>
    </row>
    <row r="15">
      <c r="A15" s="22" t="str">
        <v>Diferencia de financiación</v>
      </c>
      <c r="B15" s="2" t="str">
        <v>kUSD</v>
      </c>
      <c r="D15" s="21">
        <f>=(Parametros!$C$2-Parametros!$C$2)</f>
        <v>0</v>
      </c>
    </row>
    <row r="17">
      <c r="A17" s="7" t="str">
        <v>Control de suficiencia:</v>
      </c>
      <c r="B17" s="23" t="str">
        <f>=IF(D15&lt;-0.05,"INSUFICIENTE",IF(D15&gt;0.05,"EXCESO","OK"))</f>
        <v>OK</v>
      </c>
    </row>
    <row r="18">
      <c r="A18" s="7" t="str">
        <v>Condiciones del crédito: tasa, plazo de amortización y período de gracia se parametrizan en la hoja Parametros.</v>
      </c>
    </row>
  </sheetData>
  <ignoredErrors>
    <ignoredError numberStoredAsText="1" sqref="A1:D18"/>
  </ignoredErrors>
</worksheet>
</file>

<file path=xl/worksheets/sheet7.xml><?xml version="1.0" encoding="utf-8"?>
<worksheet xmlns="http://schemas.openxmlformats.org/spreadsheetml/2006/main" xmlns:r="http://schemas.openxmlformats.org/officeDocument/2006/relationships">
  <dimension ref="A1:N95"/>
  <sheetViews>
    <sheetView workbookViewId="0"/>
  </sheetViews>
  <cols>
    <col min="1" max="1" width="6.83203125" customWidth="1"/>
    <col min="2" max="2" width="38.83203125" customWidth="1"/>
    <col min="3" max="3" width="12.83203125" customWidth="1"/>
    <col min="4" max="4" width="14.83203125" customWidth="1"/>
    <col min="5" max="5" width="14.83203125" customWidth="1"/>
    <col min="6" max="6" width="10.83203125" customWidth="1"/>
    <col min="7" max="7" width="12.83203125" customWidth="1"/>
    <col min="8" max="8" width="14.83203125" customWidth="1"/>
    <col min="9" max="9" width="12.83203125" customWidth="1"/>
    <col min="10" max="10" width="14.83203125" customWidth="1"/>
    <col min="11" max="11" width="16.83203125" customWidth="1"/>
    <col min="12" max="12" width="16.83203125" customWidth="1"/>
    <col min="13" max="13" width="14.83203125" customWidth="1"/>
    <col min="14" max="14" width="14.83203125" customWidth="1"/>
  </cols>
  <sheetData>
    <row r="1">
      <c r="A1" s="3" t="str">
        <v>Servicios (4.6) — proyección por servicio y año (formato largo)</v>
      </c>
    </row>
    <row r="3">
      <c r="A3" s="11" t="str">
        <v>Año</v>
      </c>
      <c r="B3" s="11" t="str">
        <v>Servicio</v>
      </c>
      <c r="C3" s="11" t="str">
        <v>Precio base</v>
      </c>
      <c r="D3" s="11" t="str">
        <v>Cant. base mensual</v>
      </c>
      <c r="E3" s="11" t="str">
        <v>Capacidad mensual</v>
      </c>
      <c r="F3" s="11" t="str">
        <v>CVU base</v>
      </c>
      <c r="G3" s="11" t="str">
        <v>Precio proy.</v>
      </c>
      <c r="H3" s="11" t="str">
        <v>Cant. mensual proy.</v>
      </c>
      <c r="I3" s="11" t="str">
        <v>Cant. anual</v>
      </c>
      <c r="J3" s="11" t="str">
        <v>Costo unit. proy.</v>
      </c>
      <c r="K3" s="11" t="str">
        <v>Ingreso anual (USD)</v>
      </c>
      <c r="L3" s="11" t="str">
        <v>Costo var. total (USD)</v>
      </c>
      <c r="M3" s="11" t="str">
        <v>Margen (USD)</v>
      </c>
      <c r="N3" s="11" t="str">
        <v>Control capacidad</v>
      </c>
    </row>
    <row r="4">
      <c r="A4" s="19">
        <v>1</v>
      </c>
      <c r="B4" s="19" t="str">
        <v>Consulta estomatológica</v>
      </c>
      <c r="C4" s="16">
        <v>25</v>
      </c>
      <c r="D4" s="24">
        <v>400</v>
      </c>
      <c r="E4" s="24">
        <v>440</v>
      </c>
      <c r="F4" s="16">
        <v>6</v>
      </c>
      <c r="G4" s="6">
        <f>=(C4*((1+Parametros!$C$9)^MAX(0,($A4-1))))</f>
        <v>25</v>
      </c>
      <c r="H4" s="6">
        <f>=(D4*((1+Parametros!$C$10)^MAX(0,($A4-1))))</f>
        <v>400</v>
      </c>
      <c r="I4" s="6">
        <f>=(H4*12)</f>
        <v>4800</v>
      </c>
      <c r="J4" s="6">
        <f>=(F4*((1+Parametros!$C$8)^MAX(0,($A4-1))))</f>
        <v>6</v>
      </c>
      <c r="K4" s="6">
        <f>=(G4*I4)</f>
        <v>120000</v>
      </c>
      <c r="L4" s="6">
        <f>=(J4*I4)</f>
        <v>28800</v>
      </c>
      <c r="M4" s="6">
        <f>=(K4-L4)</f>
        <v>91200</v>
      </c>
      <c r="N4" s="23" t="str">
        <f>=IF(H4&gt;E4,"EXCEDE","")</f>
        <v/>
      </c>
    </row>
    <row r="5">
      <c r="A5" s="19">
        <v>1</v>
      </c>
      <c r="B5" s="19" t="str">
        <v>Odontología preventiva (profilaxis y sellado)</v>
      </c>
      <c r="C5" s="16">
        <v>35</v>
      </c>
      <c r="D5" s="24">
        <v>160</v>
      </c>
      <c r="E5" s="24">
        <v>200</v>
      </c>
      <c r="F5" s="16">
        <v>10</v>
      </c>
      <c r="G5" s="6">
        <f>=(C5*((1+Parametros!$C$9)^MAX(0,($A5-1))))</f>
        <v>35</v>
      </c>
      <c r="H5" s="6">
        <f>=(D5*((1+Parametros!$C$10)^MAX(0,($A5-1))))</f>
        <v>160</v>
      </c>
      <c r="I5" s="6">
        <f>=(H5*12)</f>
        <v>1920</v>
      </c>
      <c r="J5" s="6">
        <f>=(F5*((1+Parametros!$C$8)^MAX(0,($A5-1))))</f>
        <v>10</v>
      </c>
      <c r="K5" s="6">
        <f>=(G5*I5)</f>
        <v>67200</v>
      </c>
      <c r="L5" s="6">
        <f>=(J5*I5)</f>
        <v>19200</v>
      </c>
      <c r="M5" s="6">
        <f>=(K5-L5)</f>
        <v>48000</v>
      </c>
      <c r="N5" s="23" t="str">
        <f>=IF(H5&gt;E5,"EXCEDE","")</f>
        <v/>
      </c>
    </row>
    <row r="6">
      <c r="A6" s="19">
        <v>1</v>
      </c>
      <c r="B6" s="19" t="str">
        <v>Restauraciones (obturaciones)</v>
      </c>
      <c r="C6" s="16">
        <v>60</v>
      </c>
      <c r="D6" s="24">
        <v>220</v>
      </c>
      <c r="E6" s="24">
        <v>260</v>
      </c>
      <c r="F6" s="16">
        <v>18</v>
      </c>
      <c r="G6" s="6">
        <f>=(C6*((1+Parametros!$C$9)^MAX(0,($A6-1))))</f>
        <v>60</v>
      </c>
      <c r="H6" s="6">
        <f>=(D6*((1+Parametros!$C$10)^MAX(0,($A6-1))))</f>
        <v>220</v>
      </c>
      <c r="I6" s="6">
        <f>=(H6*12)</f>
        <v>2640</v>
      </c>
      <c r="J6" s="6">
        <f>=(F6*((1+Parametros!$C$8)^MAX(0,($A6-1))))</f>
        <v>18</v>
      </c>
      <c r="K6" s="6">
        <f>=(G6*I6)</f>
        <v>158400</v>
      </c>
      <c r="L6" s="6">
        <f>=(J6*I6)</f>
        <v>47520</v>
      </c>
      <c r="M6" s="6">
        <f>=(K6-L6)</f>
        <v>110880</v>
      </c>
      <c r="N6" s="23" t="str">
        <f>=IF(H6&gt;E6,"EXCEDE","")</f>
        <v/>
      </c>
    </row>
    <row r="7">
      <c r="A7" s="19">
        <v>1</v>
      </c>
      <c r="B7" s="19" t="str">
        <v>Endodoncia</v>
      </c>
      <c r="C7" s="16">
        <v>150</v>
      </c>
      <c r="D7" s="24">
        <v>70</v>
      </c>
      <c r="E7" s="24">
        <v>90</v>
      </c>
      <c r="F7" s="16">
        <v>40</v>
      </c>
      <c r="G7" s="6">
        <f>=(C7*((1+Parametros!$C$9)^MAX(0,($A7-1))))</f>
        <v>150</v>
      </c>
      <c r="H7" s="6">
        <f>=(D7*((1+Parametros!$C$10)^MAX(0,($A7-1))))</f>
        <v>70</v>
      </c>
      <c r="I7" s="6">
        <f>=(H7*12)</f>
        <v>840</v>
      </c>
      <c r="J7" s="6">
        <f>=(F7*((1+Parametros!$C$8)^MAX(0,($A7-1))))</f>
        <v>40</v>
      </c>
      <c r="K7" s="6">
        <f>=(G7*I7)</f>
        <v>126000</v>
      </c>
      <c r="L7" s="6">
        <f>=(J7*I7)</f>
        <v>33600</v>
      </c>
      <c r="M7" s="6">
        <f>=(K7-L7)</f>
        <v>92400</v>
      </c>
      <c r="N7" s="23" t="str">
        <f>=IF(H7&gt;E7,"EXCEDE","")</f>
        <v/>
      </c>
    </row>
    <row r="8">
      <c r="A8" s="19">
        <v>1</v>
      </c>
      <c r="B8" s="19" t="str">
        <v>Periodoncia</v>
      </c>
      <c r="C8" s="16">
        <v>120</v>
      </c>
      <c r="D8" s="24">
        <v>60</v>
      </c>
      <c r="E8" s="24">
        <v>80</v>
      </c>
      <c r="F8" s="16">
        <v>30</v>
      </c>
      <c r="G8" s="6">
        <f>=(C8*((1+Parametros!$C$9)^MAX(0,($A8-1))))</f>
        <v>120</v>
      </c>
      <c r="H8" s="6">
        <f>=(D8*((1+Parametros!$C$10)^MAX(0,($A8-1))))</f>
        <v>60</v>
      </c>
      <c r="I8" s="6">
        <f>=(H8*12)</f>
        <v>720</v>
      </c>
      <c r="J8" s="6">
        <f>=(F8*((1+Parametros!$C$8)^MAX(0,($A8-1))))</f>
        <v>30</v>
      </c>
      <c r="K8" s="6">
        <f>=(G8*I8)</f>
        <v>86400</v>
      </c>
      <c r="L8" s="6">
        <f>=(J8*I8)</f>
        <v>21600</v>
      </c>
      <c r="M8" s="6">
        <f>=(K8-L8)</f>
        <v>64800</v>
      </c>
      <c r="N8" s="23" t="str">
        <f>=IF(H8&gt;E8,"EXCEDE","")</f>
        <v/>
      </c>
    </row>
    <row r="9">
      <c r="A9" s="19">
        <v>1</v>
      </c>
      <c r="B9" s="19" t="str">
        <v>Cirugía oral</v>
      </c>
      <c r="C9" s="16">
        <v>180</v>
      </c>
      <c r="D9" s="24">
        <v>35</v>
      </c>
      <c r="E9" s="24">
        <v>45</v>
      </c>
      <c r="F9" s="16">
        <v>45</v>
      </c>
      <c r="G9" s="6">
        <f>=(C9*((1+Parametros!$C$9)^MAX(0,($A9-1))))</f>
        <v>180</v>
      </c>
      <c r="H9" s="6">
        <f>=(D9*((1+Parametros!$C$10)^MAX(0,($A9-1))))</f>
        <v>35</v>
      </c>
      <c r="I9" s="6">
        <f>=(H9*12)</f>
        <v>420</v>
      </c>
      <c r="J9" s="6">
        <f>=(F9*((1+Parametros!$C$8)^MAX(0,($A9-1))))</f>
        <v>45</v>
      </c>
      <c r="K9" s="6">
        <f>=(G9*I9)</f>
        <v>75600</v>
      </c>
      <c r="L9" s="6">
        <f>=(J9*I9)</f>
        <v>18900</v>
      </c>
      <c r="M9" s="6">
        <f>=(K9-L9)</f>
        <v>56700</v>
      </c>
      <c r="N9" s="23" t="str">
        <f>=IF(H9&gt;E9,"EXCEDE","")</f>
        <v/>
      </c>
    </row>
    <row r="10">
      <c r="A10" s="19">
        <v>1</v>
      </c>
      <c r="B10" s="19" t="str">
        <v>Prótesis estomatológica</v>
      </c>
      <c r="C10" s="16">
        <v>400</v>
      </c>
      <c r="D10" s="24">
        <v>28</v>
      </c>
      <c r="E10" s="24">
        <v>40</v>
      </c>
      <c r="F10" s="16">
        <v>120</v>
      </c>
      <c r="G10" s="6">
        <f>=(C10*((1+Parametros!$C$9)^MAX(0,($A10-1))))</f>
        <v>400</v>
      </c>
      <c r="H10" s="6">
        <f>=(D10*((1+Parametros!$C$10)^MAX(0,($A10-1))))</f>
        <v>28</v>
      </c>
      <c r="I10" s="6">
        <f>=(H10*12)</f>
        <v>336</v>
      </c>
      <c r="J10" s="6">
        <f>=(F10*((1+Parametros!$C$8)^MAX(0,($A10-1))))</f>
        <v>120</v>
      </c>
      <c r="K10" s="6">
        <f>=(G10*I10)</f>
        <v>134400</v>
      </c>
      <c r="L10" s="6">
        <f>=(J10*I10)</f>
        <v>40320</v>
      </c>
      <c r="M10" s="6">
        <f>=(K10-L10)</f>
        <v>94080</v>
      </c>
      <c r="N10" s="23" t="str">
        <f>=IF(H10&gt;E10,"EXCEDE","")</f>
        <v/>
      </c>
    </row>
    <row r="11">
      <c r="A11" s="19">
        <v>1</v>
      </c>
      <c r="B11" s="19" t="str">
        <v>Ortodoncia</v>
      </c>
      <c r="C11" s="16">
        <v>1200</v>
      </c>
      <c r="D11" s="24">
        <v>9</v>
      </c>
      <c r="E11" s="24">
        <v>15</v>
      </c>
      <c r="F11" s="16">
        <v>300</v>
      </c>
      <c r="G11" s="6">
        <f>=(C11*((1+Parametros!$C$9)^MAX(0,($A11-1))))</f>
        <v>1200</v>
      </c>
      <c r="H11" s="6">
        <f>=(D11*((1+Parametros!$C$10)^MAX(0,($A11-1))))</f>
        <v>9</v>
      </c>
      <c r="I11" s="6">
        <f>=(H11*12)</f>
        <v>108</v>
      </c>
      <c r="J11" s="6">
        <f>=(F11*((1+Parametros!$C$8)^MAX(0,($A11-1))))</f>
        <v>300</v>
      </c>
      <c r="K11" s="6">
        <f>=(G11*I11)</f>
        <v>129600</v>
      </c>
      <c r="L11" s="6">
        <f>=(J11*I11)</f>
        <v>32400</v>
      </c>
      <c r="M11" s="6">
        <f>=(K11-L11)</f>
        <v>97200</v>
      </c>
      <c r="N11" s="23" t="str">
        <f>=IF(H11&gt;E11,"EXCEDE","")</f>
        <v/>
      </c>
    </row>
    <row r="12">
      <c r="A12" s="19">
        <v>1</v>
      </c>
      <c r="B12" s="19" t="str">
        <v>Imagenología dental</v>
      </c>
      <c r="C12" s="16">
        <v>45</v>
      </c>
      <c r="D12" s="24">
        <v>130</v>
      </c>
      <c r="E12" s="24">
        <v>160</v>
      </c>
      <c r="F12" s="16">
        <v>8</v>
      </c>
      <c r="G12" s="6">
        <f>=(C12*((1+Parametros!$C$9)^MAX(0,($A12-1))))</f>
        <v>45</v>
      </c>
      <c r="H12" s="6">
        <f>=(D12*((1+Parametros!$C$10)^MAX(0,($A12-1))))</f>
        <v>130</v>
      </c>
      <c r="I12" s="6">
        <f>=(H12*12)</f>
        <v>1560</v>
      </c>
      <c r="J12" s="6">
        <f>=(F12*((1+Parametros!$C$8)^MAX(0,($A12-1))))</f>
        <v>8</v>
      </c>
      <c r="K12" s="6">
        <f>=(G12*I12)</f>
        <v>70200</v>
      </c>
      <c r="L12" s="6">
        <f>=(J12*I12)</f>
        <v>12480</v>
      </c>
      <c r="M12" s="6">
        <f>=(K12-L12)</f>
        <v>57720</v>
      </c>
      <c r="N12" s="23" t="str">
        <f>=IF(H12&gt;E12,"EXCEDE","")</f>
        <v/>
      </c>
    </row>
    <row r="13">
      <c r="A13" s="19">
        <v>2</v>
      </c>
      <c r="B13" s="19" t="str">
        <v>Consulta estomatológica</v>
      </c>
      <c r="C13" s="16">
        <v>25</v>
      </c>
      <c r="D13" s="24">
        <v>400</v>
      </c>
      <c r="E13" s="24">
        <v>440</v>
      </c>
      <c r="F13" s="16">
        <v>6</v>
      </c>
      <c r="G13" s="6">
        <f>=(C13*((1+Parametros!$C$9)^MAX(0,($A13-1))))</f>
        <v>25.75</v>
      </c>
      <c r="H13" s="6">
        <f>=(D13*((1+Parametros!$C$10)^MAX(0,($A13-1))))</f>
        <v>420</v>
      </c>
      <c r="I13" s="6">
        <f>=(H13*12)</f>
        <v>5040</v>
      </c>
      <c r="J13" s="6">
        <f>=(F13*((1+Parametros!$C$8)^MAX(0,($A13-1))))</f>
        <v>6.24</v>
      </c>
      <c r="K13" s="6">
        <f>=(G13*I13)</f>
        <v>129780</v>
      </c>
      <c r="L13" s="6">
        <f>=(J13*I13)</f>
        <v>31449.600000000002</v>
      </c>
      <c r="M13" s="6">
        <f>=(K13-L13)</f>
        <v>98330.4</v>
      </c>
      <c r="N13" s="23" t="str">
        <f>=IF(H13&gt;E13,"EXCEDE","")</f>
        <v/>
      </c>
    </row>
    <row r="14">
      <c r="A14" s="19">
        <v>2</v>
      </c>
      <c r="B14" s="19" t="str">
        <v>Odontología preventiva (profilaxis y sellado)</v>
      </c>
      <c r="C14" s="16">
        <v>35</v>
      </c>
      <c r="D14" s="24">
        <v>160</v>
      </c>
      <c r="E14" s="24">
        <v>200</v>
      </c>
      <c r="F14" s="16">
        <v>10</v>
      </c>
      <c r="G14" s="6">
        <f>=(C14*((1+Parametros!$C$9)^MAX(0,($A14-1))))</f>
        <v>36.050000000000004</v>
      </c>
      <c r="H14" s="6">
        <f>=(D14*((1+Parametros!$C$10)^MAX(0,($A14-1))))</f>
        <v>168</v>
      </c>
      <c r="I14" s="6">
        <f>=(H14*12)</f>
        <v>2016</v>
      </c>
      <c r="J14" s="6">
        <f>=(F14*((1+Parametros!$C$8)^MAX(0,($A14-1))))</f>
        <v>10.4</v>
      </c>
      <c r="K14" s="6">
        <f>=(G14*I14)</f>
        <v>72676.8</v>
      </c>
      <c r="L14" s="6">
        <f>=(J14*I14)</f>
        <v>20966.4</v>
      </c>
      <c r="M14" s="6">
        <f>=(K14-L14)</f>
        <v>51710.4</v>
      </c>
      <c r="N14" s="23" t="str">
        <f>=IF(H14&gt;E14,"EXCEDE","")</f>
        <v/>
      </c>
    </row>
    <row r="15">
      <c r="A15" s="19">
        <v>2</v>
      </c>
      <c r="B15" s="19" t="str">
        <v>Restauraciones (obturaciones)</v>
      </c>
      <c r="C15" s="16">
        <v>60</v>
      </c>
      <c r="D15" s="24">
        <v>220</v>
      </c>
      <c r="E15" s="24">
        <v>260</v>
      </c>
      <c r="F15" s="16">
        <v>18</v>
      </c>
      <c r="G15" s="6">
        <f>=(C15*((1+Parametros!$C$9)^MAX(0,($A15-1))))</f>
        <v>61.800000000000004</v>
      </c>
      <c r="H15" s="6">
        <f>=(D15*((1+Parametros!$C$10)^MAX(0,($A15-1))))</f>
        <v>231</v>
      </c>
      <c r="I15" s="6">
        <f>=(H15*12)</f>
        <v>2772</v>
      </c>
      <c r="J15" s="6">
        <f>=(F15*((1+Parametros!$C$8)^MAX(0,($A15-1))))</f>
        <v>18.72</v>
      </c>
      <c r="K15" s="6">
        <f>=(G15*I15)</f>
        <v>171309.6</v>
      </c>
      <c r="L15" s="6">
        <f>=(J15*I15)</f>
        <v>51891.84</v>
      </c>
      <c r="M15" s="6">
        <f>=(K15-L15)</f>
        <v>119417.76000000001</v>
      </c>
      <c r="N15" s="23" t="str">
        <f>=IF(H15&gt;E15,"EXCEDE","")</f>
        <v/>
      </c>
    </row>
    <row r="16">
      <c r="A16" s="19">
        <v>2</v>
      </c>
      <c r="B16" s="19" t="str">
        <v>Endodoncia</v>
      </c>
      <c r="C16" s="16">
        <v>150</v>
      </c>
      <c r="D16" s="24">
        <v>70</v>
      </c>
      <c r="E16" s="24">
        <v>90</v>
      </c>
      <c r="F16" s="16">
        <v>40</v>
      </c>
      <c r="G16" s="6">
        <f>=(C16*((1+Parametros!$C$9)^MAX(0,($A16-1))))</f>
        <v>154.5</v>
      </c>
      <c r="H16" s="6">
        <f>=(D16*((1+Parametros!$C$10)^MAX(0,($A16-1))))</f>
        <v>73.5</v>
      </c>
      <c r="I16" s="6">
        <f>=(H16*12)</f>
        <v>882</v>
      </c>
      <c r="J16" s="6">
        <f>=(F16*((1+Parametros!$C$8)^MAX(0,($A16-1))))</f>
        <v>41.6</v>
      </c>
      <c r="K16" s="6">
        <f>=(G16*I16)</f>
        <v>136269</v>
      </c>
      <c r="L16" s="6">
        <f>=(J16*I16)</f>
        <v>36691.200000000004</v>
      </c>
      <c r="M16" s="6">
        <f>=(K16-L16)</f>
        <v>99577.79999999999</v>
      </c>
      <c r="N16" s="23" t="str">
        <f>=IF(H16&gt;E16,"EXCEDE","")</f>
        <v/>
      </c>
    </row>
    <row r="17">
      <c r="A17" s="19">
        <v>2</v>
      </c>
      <c r="B17" s="19" t="str">
        <v>Periodoncia</v>
      </c>
      <c r="C17" s="16">
        <v>120</v>
      </c>
      <c r="D17" s="24">
        <v>60</v>
      </c>
      <c r="E17" s="24">
        <v>80</v>
      </c>
      <c r="F17" s="16">
        <v>30</v>
      </c>
      <c r="G17" s="6">
        <f>=(C17*((1+Parametros!$C$9)^MAX(0,($A17-1))))</f>
        <v>123.60000000000001</v>
      </c>
      <c r="H17" s="6">
        <f>=(D17*((1+Parametros!$C$10)^MAX(0,($A17-1))))</f>
        <v>63</v>
      </c>
      <c r="I17" s="6">
        <f>=(H17*12)</f>
        <v>756</v>
      </c>
      <c r="J17" s="6">
        <f>=(F17*((1+Parametros!$C$8)^MAX(0,($A17-1))))</f>
        <v>31.200000000000003</v>
      </c>
      <c r="K17" s="6">
        <f>=(G17*I17)</f>
        <v>93441.6</v>
      </c>
      <c r="L17" s="6">
        <f>=(J17*I17)</f>
        <v>23587.2</v>
      </c>
      <c r="M17" s="6">
        <f>=(K17-L17)</f>
        <v>69854.40000000001</v>
      </c>
      <c r="N17" s="23" t="str">
        <f>=IF(H17&gt;E17,"EXCEDE","")</f>
        <v/>
      </c>
    </row>
    <row r="18">
      <c r="A18" s="19">
        <v>2</v>
      </c>
      <c r="B18" s="19" t="str">
        <v>Cirugía oral</v>
      </c>
      <c r="C18" s="16">
        <v>180</v>
      </c>
      <c r="D18" s="24">
        <v>35</v>
      </c>
      <c r="E18" s="24">
        <v>45</v>
      </c>
      <c r="F18" s="16">
        <v>45</v>
      </c>
      <c r="G18" s="6">
        <f>=(C18*((1+Parametros!$C$9)^MAX(0,($A18-1))))</f>
        <v>185.4</v>
      </c>
      <c r="H18" s="6">
        <f>=(D18*((1+Parametros!$C$10)^MAX(0,($A18-1))))</f>
        <v>36.75</v>
      </c>
      <c r="I18" s="6">
        <f>=(H18*12)</f>
        <v>441</v>
      </c>
      <c r="J18" s="6">
        <f>=(F18*((1+Parametros!$C$8)^MAX(0,($A18-1))))</f>
        <v>46.800000000000004</v>
      </c>
      <c r="K18" s="6">
        <f>=(G18*I18)</f>
        <v>81761.40000000001</v>
      </c>
      <c r="L18" s="6">
        <f>=(J18*I18)</f>
        <v>20638.800000000003</v>
      </c>
      <c r="M18" s="6">
        <f>=(K18-L18)</f>
        <v>61122.600000000006</v>
      </c>
      <c r="N18" s="23" t="str">
        <f>=IF(H18&gt;E18,"EXCEDE","")</f>
        <v/>
      </c>
    </row>
    <row r="19">
      <c r="A19" s="19">
        <v>2</v>
      </c>
      <c r="B19" s="19" t="str">
        <v>Prótesis estomatológica</v>
      </c>
      <c r="C19" s="16">
        <v>400</v>
      </c>
      <c r="D19" s="24">
        <v>28</v>
      </c>
      <c r="E19" s="24">
        <v>40</v>
      </c>
      <c r="F19" s="16">
        <v>120</v>
      </c>
      <c r="G19" s="6">
        <f>=(C19*((1+Parametros!$C$9)^MAX(0,($A19-1))))</f>
        <v>412</v>
      </c>
      <c r="H19" s="6">
        <f>=(D19*((1+Parametros!$C$10)^MAX(0,($A19-1))))</f>
        <v>29.400000000000002</v>
      </c>
      <c r="I19" s="6">
        <f>=(H19*12)</f>
        <v>352.8</v>
      </c>
      <c r="J19" s="6">
        <f>=(F19*((1+Parametros!$C$8)^MAX(0,($A19-1))))</f>
        <v>124.80000000000001</v>
      </c>
      <c r="K19" s="6">
        <f>=(G19*I19)</f>
        <v>145353.6</v>
      </c>
      <c r="L19" s="6">
        <f>=(J19*I19)</f>
        <v>44029.44</v>
      </c>
      <c r="M19" s="6">
        <f>=(K19-L19)</f>
        <v>101324.16</v>
      </c>
      <c r="N19" s="23" t="str">
        <f>=IF(H19&gt;E19,"EXCEDE","")</f>
        <v/>
      </c>
    </row>
    <row r="20">
      <c r="A20" s="19">
        <v>2</v>
      </c>
      <c r="B20" s="19" t="str">
        <v>Ortodoncia</v>
      </c>
      <c r="C20" s="16">
        <v>1200</v>
      </c>
      <c r="D20" s="24">
        <v>9</v>
      </c>
      <c r="E20" s="24">
        <v>15</v>
      </c>
      <c r="F20" s="16">
        <v>300</v>
      </c>
      <c r="G20" s="6">
        <f>=(C20*((1+Parametros!$C$9)^MAX(0,($A20-1))))</f>
        <v>1236</v>
      </c>
      <c r="H20" s="6">
        <f>=(D20*((1+Parametros!$C$10)^MAX(0,($A20-1))))</f>
        <v>9.450000000000001</v>
      </c>
      <c r="I20" s="6">
        <f>=(H20*12)</f>
        <v>113.4</v>
      </c>
      <c r="J20" s="6">
        <f>=(F20*((1+Parametros!$C$8)^MAX(0,($A20-1))))</f>
        <v>312</v>
      </c>
      <c r="K20" s="6">
        <f>=(G20*I20)</f>
        <v>140162.4</v>
      </c>
      <c r="L20" s="6">
        <f>=(J20*I20)</f>
        <v>35380.8</v>
      </c>
      <c r="M20" s="6">
        <f>=(K20-L20)</f>
        <v>104781.59999999999</v>
      </c>
      <c r="N20" s="23" t="str">
        <f>=IF(H20&gt;E20,"EXCEDE","")</f>
        <v/>
      </c>
    </row>
    <row r="21">
      <c r="A21" s="19">
        <v>2</v>
      </c>
      <c r="B21" s="19" t="str">
        <v>Imagenología dental</v>
      </c>
      <c r="C21" s="16">
        <v>45</v>
      </c>
      <c r="D21" s="24">
        <v>130</v>
      </c>
      <c r="E21" s="24">
        <v>160</v>
      </c>
      <c r="F21" s="16">
        <v>8</v>
      </c>
      <c r="G21" s="6">
        <f>=(C21*((1+Parametros!$C$9)^MAX(0,($A21-1))))</f>
        <v>46.35</v>
      </c>
      <c r="H21" s="6">
        <f>=(D21*((1+Parametros!$C$10)^MAX(0,($A21-1))))</f>
        <v>136.5</v>
      </c>
      <c r="I21" s="6">
        <f>=(H21*12)</f>
        <v>1638</v>
      </c>
      <c r="J21" s="6">
        <f>=(F21*((1+Parametros!$C$8)^MAX(0,($A21-1))))</f>
        <v>8.32</v>
      </c>
      <c r="K21" s="6">
        <f>=(G21*I21)</f>
        <v>75921.3</v>
      </c>
      <c r="L21" s="6">
        <f>=(J21*I21)</f>
        <v>13628.16</v>
      </c>
      <c r="M21" s="6">
        <f>=(K21-L21)</f>
        <v>62293.14</v>
      </c>
      <c r="N21" s="23" t="str">
        <f>=IF(H21&gt;E21,"EXCEDE","")</f>
        <v/>
      </c>
    </row>
    <row r="22">
      <c r="A22" s="19">
        <v>3</v>
      </c>
      <c r="B22" s="19" t="str">
        <v>Consulta estomatológica</v>
      </c>
      <c r="C22" s="16">
        <v>25</v>
      </c>
      <c r="D22" s="24">
        <v>400</v>
      </c>
      <c r="E22" s="24">
        <v>440</v>
      </c>
      <c r="F22" s="16">
        <v>6</v>
      </c>
      <c r="G22" s="6">
        <f>=(C22*((1+Parametros!$C$9)^MAX(0,($A22-1))))</f>
        <v>26.522499999999997</v>
      </c>
      <c r="H22" s="6">
        <f>=(D22*((1+Parametros!$C$10)^MAX(0,($A22-1))))</f>
        <v>441</v>
      </c>
      <c r="I22" s="6">
        <f>=(H22*12)</f>
        <v>5292</v>
      </c>
      <c r="J22" s="6">
        <f>=(F22*((1+Parametros!$C$8)^MAX(0,($A22-1))))</f>
        <v>6.489600000000001</v>
      </c>
      <c r="K22" s="6">
        <f>=(G22*I22)</f>
        <v>140357.06999999998</v>
      </c>
      <c r="L22" s="6">
        <f>=(J22*I22)</f>
        <v>34342.963200000006</v>
      </c>
      <c r="M22" s="6">
        <f>=(K22-L22)</f>
        <v>106014.10679999998</v>
      </c>
      <c r="N22" s="23" t="str">
        <f>=IF(H22&gt;E22,"EXCEDE","")</f>
        <v>EXCEDE</v>
      </c>
    </row>
    <row r="23">
      <c r="A23" s="19">
        <v>3</v>
      </c>
      <c r="B23" s="19" t="str">
        <v>Odontología preventiva (profilaxis y sellado)</v>
      </c>
      <c r="C23" s="16">
        <v>35</v>
      </c>
      <c r="D23" s="24">
        <v>160</v>
      </c>
      <c r="E23" s="24">
        <v>200</v>
      </c>
      <c r="F23" s="16">
        <v>10</v>
      </c>
      <c r="G23" s="6">
        <f>=(C23*((1+Parametros!$C$9)^MAX(0,($A23-1))))</f>
        <v>37.131499999999996</v>
      </c>
      <c r="H23" s="6">
        <f>=(D23*((1+Parametros!$C$10)^MAX(0,($A23-1))))</f>
        <v>176.4</v>
      </c>
      <c r="I23" s="6">
        <f>=(H23*12)</f>
        <v>2116.8</v>
      </c>
      <c r="J23" s="6">
        <f>=(F23*((1+Parametros!$C$8)^MAX(0,($A23-1))))</f>
        <v>10.816</v>
      </c>
      <c r="K23" s="6">
        <f>=(G23*I23)</f>
        <v>78599.9592</v>
      </c>
      <c r="L23" s="6">
        <f>=(J23*I23)</f>
        <v>22895.308800000003</v>
      </c>
      <c r="M23" s="6">
        <f>=(K23-L23)</f>
        <v>55704.6504</v>
      </c>
      <c r="N23" s="23" t="str">
        <f>=IF(H23&gt;E23,"EXCEDE","")</f>
        <v/>
      </c>
    </row>
    <row r="24">
      <c r="A24" s="19">
        <v>3</v>
      </c>
      <c r="B24" s="19" t="str">
        <v>Restauraciones (obturaciones)</v>
      </c>
      <c r="C24" s="16">
        <v>60</v>
      </c>
      <c r="D24" s="24">
        <v>220</v>
      </c>
      <c r="E24" s="24">
        <v>260</v>
      </c>
      <c r="F24" s="16">
        <v>18</v>
      </c>
      <c r="G24" s="6">
        <f>=(C24*((1+Parametros!$C$9)^MAX(0,($A24-1))))</f>
        <v>63.653999999999996</v>
      </c>
      <c r="H24" s="6">
        <f>=(D24*((1+Parametros!$C$10)^MAX(0,($A24-1))))</f>
        <v>242.55</v>
      </c>
      <c r="I24" s="6">
        <f>=(H24*12)</f>
        <v>2910.6000000000004</v>
      </c>
      <c r="J24" s="6">
        <f>=(F24*((1+Parametros!$C$8)^MAX(0,($A24-1))))</f>
        <v>19.4688</v>
      </c>
      <c r="K24" s="6">
        <f>=(G24*I24)</f>
        <v>185271.3324</v>
      </c>
      <c r="L24" s="6">
        <f>=(J24*I24)</f>
        <v>56665.88928000001</v>
      </c>
      <c r="M24" s="6">
        <f>=(K24-L24)</f>
        <v>128605.44312000001</v>
      </c>
      <c r="N24" s="23" t="str">
        <f>=IF(H24&gt;E24,"EXCEDE","")</f>
        <v/>
      </c>
    </row>
    <row r="25">
      <c r="A25" s="19">
        <v>3</v>
      </c>
      <c r="B25" s="19" t="str">
        <v>Endodoncia</v>
      </c>
      <c r="C25" s="16">
        <v>150</v>
      </c>
      <c r="D25" s="24">
        <v>70</v>
      </c>
      <c r="E25" s="24">
        <v>90</v>
      </c>
      <c r="F25" s="16">
        <v>40</v>
      </c>
      <c r="G25" s="6">
        <f>=(C25*((1+Parametros!$C$9)^MAX(0,($A25-1))))</f>
        <v>159.135</v>
      </c>
      <c r="H25" s="6">
        <f>=(D25*((1+Parametros!$C$10)^MAX(0,($A25-1))))</f>
        <v>77.175</v>
      </c>
      <c r="I25" s="6">
        <f>=(H25*12)</f>
        <v>926.0999999999999</v>
      </c>
      <c r="J25" s="6">
        <f>=(F25*((1+Parametros!$C$8)^MAX(0,($A25-1))))</f>
        <v>43.264</v>
      </c>
      <c r="K25" s="6">
        <f>=(G25*I25)</f>
        <v>147374.92349999998</v>
      </c>
      <c r="L25" s="6">
        <f>=(J25*I25)</f>
        <v>40066.7904</v>
      </c>
      <c r="M25" s="6">
        <f>=(K25-L25)</f>
        <v>107308.13309999998</v>
      </c>
      <c r="N25" s="23" t="str">
        <f>=IF(H25&gt;E25,"EXCEDE","")</f>
        <v/>
      </c>
    </row>
    <row r="26">
      <c r="A26" s="19">
        <v>3</v>
      </c>
      <c r="B26" s="19" t="str">
        <v>Periodoncia</v>
      </c>
      <c r="C26" s="16">
        <v>120</v>
      </c>
      <c r="D26" s="24">
        <v>60</v>
      </c>
      <c r="E26" s="24">
        <v>80</v>
      </c>
      <c r="F26" s="16">
        <v>30</v>
      </c>
      <c r="G26" s="6">
        <f>=(C26*((1+Parametros!$C$9)^MAX(0,($A26-1))))</f>
        <v>127.30799999999999</v>
      </c>
      <c r="H26" s="6">
        <f>=(D26*((1+Parametros!$C$10)^MAX(0,($A26-1))))</f>
        <v>66.15</v>
      </c>
      <c r="I26" s="6">
        <f>=(H26*12)</f>
        <v>793.8000000000001</v>
      </c>
      <c r="J26" s="6">
        <f>=(F26*((1+Parametros!$C$8)^MAX(0,($A26-1))))</f>
        <v>32.448</v>
      </c>
      <c r="K26" s="6">
        <f>=(G26*I26)</f>
        <v>101057.0904</v>
      </c>
      <c r="L26" s="6">
        <f>=(J26*I26)</f>
        <v>25757.222400000002</v>
      </c>
      <c r="M26" s="6">
        <f>=(K26-L26)</f>
        <v>75299.868</v>
      </c>
      <c r="N26" s="23" t="str">
        <f>=IF(H26&gt;E26,"EXCEDE","")</f>
        <v/>
      </c>
    </row>
    <row r="27">
      <c r="A27" s="19">
        <v>3</v>
      </c>
      <c r="B27" s="19" t="str">
        <v>Cirugía oral</v>
      </c>
      <c r="C27" s="16">
        <v>180</v>
      </c>
      <c r="D27" s="24">
        <v>35</v>
      </c>
      <c r="E27" s="24">
        <v>45</v>
      </c>
      <c r="F27" s="16">
        <v>45</v>
      </c>
      <c r="G27" s="6">
        <f>=(C27*((1+Parametros!$C$9)^MAX(0,($A27-1))))</f>
        <v>190.962</v>
      </c>
      <c r="H27" s="6">
        <f>=(D27*((1+Parametros!$C$10)^MAX(0,($A27-1))))</f>
        <v>38.5875</v>
      </c>
      <c r="I27" s="6">
        <f>=(H27*12)</f>
        <v>463.04999999999995</v>
      </c>
      <c r="J27" s="6">
        <f>=(F27*((1+Parametros!$C$8)^MAX(0,($A27-1))))</f>
        <v>48.672000000000004</v>
      </c>
      <c r="K27" s="6">
        <f>=(G27*I27)</f>
        <v>88424.95409999999</v>
      </c>
      <c r="L27" s="6">
        <f>=(J27*I27)</f>
        <v>22537.5696</v>
      </c>
      <c r="M27" s="6">
        <f>=(K27-L27)</f>
        <v>65887.38449999999</v>
      </c>
      <c r="N27" s="23" t="str">
        <f>=IF(H27&gt;E27,"EXCEDE","")</f>
        <v/>
      </c>
    </row>
    <row r="28">
      <c r="A28" s="19">
        <v>3</v>
      </c>
      <c r="B28" s="19" t="str">
        <v>Prótesis estomatológica</v>
      </c>
      <c r="C28" s="16">
        <v>400</v>
      </c>
      <c r="D28" s="24">
        <v>28</v>
      </c>
      <c r="E28" s="24">
        <v>40</v>
      </c>
      <c r="F28" s="16">
        <v>120</v>
      </c>
      <c r="G28" s="6">
        <f>=(C28*((1+Parametros!$C$9)^MAX(0,($A28-1))))</f>
        <v>424.35999999999996</v>
      </c>
      <c r="H28" s="6">
        <f>=(D28*((1+Parametros!$C$10)^MAX(0,($A28-1))))</f>
        <v>30.87</v>
      </c>
      <c r="I28" s="6">
        <f>=(H28*12)</f>
        <v>370.44</v>
      </c>
      <c r="J28" s="6">
        <f>=(F28*((1+Parametros!$C$8)^MAX(0,($A28-1))))</f>
        <v>129.792</v>
      </c>
      <c r="K28" s="6">
        <f>=(G28*I28)</f>
        <v>157199.9184</v>
      </c>
      <c r="L28" s="6">
        <f>=(J28*I28)</f>
        <v>48080.14848</v>
      </c>
      <c r="M28" s="6">
        <f>=(K28-L28)</f>
        <v>109119.76991999999</v>
      </c>
      <c r="N28" s="23" t="str">
        <f>=IF(H28&gt;E28,"EXCEDE","")</f>
        <v/>
      </c>
    </row>
    <row r="29">
      <c r="A29" s="19">
        <v>3</v>
      </c>
      <c r="B29" s="19" t="str">
        <v>Ortodoncia</v>
      </c>
      <c r="C29" s="16">
        <v>1200</v>
      </c>
      <c r="D29" s="24">
        <v>9</v>
      </c>
      <c r="E29" s="24">
        <v>15</v>
      </c>
      <c r="F29" s="16">
        <v>300</v>
      </c>
      <c r="G29" s="6">
        <f>=(C29*((1+Parametros!$C$9)^MAX(0,($A29-1))))</f>
        <v>1273.08</v>
      </c>
      <c r="H29" s="6">
        <f>=(D29*((1+Parametros!$C$10)^MAX(0,($A29-1))))</f>
        <v>9.9225</v>
      </c>
      <c r="I29" s="6">
        <f>=(H29*12)</f>
        <v>119.07</v>
      </c>
      <c r="J29" s="6">
        <f>=(F29*((1+Parametros!$C$8)^MAX(0,($A29-1))))</f>
        <v>324.48</v>
      </c>
      <c r="K29" s="6">
        <f>=(G29*I29)</f>
        <v>151585.63559999998</v>
      </c>
      <c r="L29" s="6">
        <f>=(J29*I29)</f>
        <v>38635.8336</v>
      </c>
      <c r="M29" s="6">
        <f>=(K29-L29)</f>
        <v>112949.80199999998</v>
      </c>
      <c r="N29" s="23" t="str">
        <f>=IF(H29&gt;E29,"EXCEDE","")</f>
        <v/>
      </c>
    </row>
    <row r="30">
      <c r="A30" s="19">
        <v>3</v>
      </c>
      <c r="B30" s="19" t="str">
        <v>Imagenología dental</v>
      </c>
      <c r="C30" s="16">
        <v>45</v>
      </c>
      <c r="D30" s="24">
        <v>130</v>
      </c>
      <c r="E30" s="24">
        <v>160</v>
      </c>
      <c r="F30" s="16">
        <v>8</v>
      </c>
      <c r="G30" s="6">
        <f>=(C30*((1+Parametros!$C$9)^MAX(0,($A30-1))))</f>
        <v>47.7405</v>
      </c>
      <c r="H30" s="6">
        <f>=(D30*((1+Parametros!$C$10)^MAX(0,($A30-1))))</f>
        <v>143.32500000000002</v>
      </c>
      <c r="I30" s="6">
        <f>=(H30*12)</f>
        <v>1719.9</v>
      </c>
      <c r="J30" s="6">
        <f>=(F30*((1+Parametros!$C$8)^MAX(0,($A30-1))))</f>
        <v>8.652800000000001</v>
      </c>
      <c r="K30" s="6">
        <f>=(G30*I30)</f>
        <v>82108.88595</v>
      </c>
      <c r="L30" s="6">
        <f>=(J30*I30)</f>
        <v>14881.950720000003</v>
      </c>
      <c r="M30" s="6">
        <f>=(K30-L30)</f>
        <v>67226.93522999999</v>
      </c>
      <c r="N30" s="23" t="str">
        <f>=IF(H30&gt;E30,"EXCEDE","")</f>
        <v/>
      </c>
    </row>
    <row r="31">
      <c r="A31" s="19">
        <v>4</v>
      </c>
      <c r="B31" s="19" t="str">
        <v>Consulta estomatológica</v>
      </c>
      <c r="C31" s="16">
        <v>25</v>
      </c>
      <c r="D31" s="24">
        <v>400</v>
      </c>
      <c r="E31" s="24">
        <v>440</v>
      </c>
      <c r="F31" s="16">
        <v>6</v>
      </c>
      <c r="G31" s="6">
        <f>=(C31*((1+Parametros!$C$9)^MAX(0,($A31-1))))</f>
        <v>27.318175</v>
      </c>
      <c r="H31" s="6">
        <f>=(D31*((1+Parametros!$C$10)^MAX(0,($A31-1))))</f>
        <v>463.05000000000007</v>
      </c>
      <c r="I31" s="6">
        <f>=(H31*12)</f>
        <v>5556.6</v>
      </c>
      <c r="J31" s="6">
        <f>=(F31*((1+Parametros!$C$8)^MAX(0,($A31-1))))</f>
        <v>6.7491840000000005</v>
      </c>
      <c r="K31" s="6">
        <f>=(G31*I31)</f>
        <v>151796.17120500002</v>
      </c>
      <c r="L31" s="6">
        <f>=(J31*I31)</f>
        <v>37502.51581440001</v>
      </c>
      <c r="M31" s="6">
        <f>=(K31-L31)</f>
        <v>114293.6553906</v>
      </c>
      <c r="N31" s="23" t="str">
        <f>=IF(H31&gt;E31,"EXCEDE","")</f>
        <v>EXCEDE</v>
      </c>
    </row>
    <row r="32">
      <c r="A32" s="19">
        <v>4</v>
      </c>
      <c r="B32" s="19" t="str">
        <v>Odontología preventiva (profilaxis y sellado)</v>
      </c>
      <c r="C32" s="16">
        <v>35</v>
      </c>
      <c r="D32" s="24">
        <v>160</v>
      </c>
      <c r="E32" s="24">
        <v>200</v>
      </c>
      <c r="F32" s="16">
        <v>10</v>
      </c>
      <c r="G32" s="6">
        <f>=(C32*((1+Parametros!$C$9)^MAX(0,($A32-1))))</f>
        <v>38.245445000000004</v>
      </c>
      <c r="H32" s="6">
        <f>=(D32*((1+Parametros!$C$10)^MAX(0,($A32-1))))</f>
        <v>185.22000000000003</v>
      </c>
      <c r="I32" s="6">
        <f>=(H32*12)</f>
        <v>2222.6400000000003</v>
      </c>
      <c r="J32" s="6">
        <f>=(F32*((1+Parametros!$C$8)^MAX(0,($A32-1))))</f>
        <v>11.248640000000002</v>
      </c>
      <c r="K32" s="6">
        <f>=(G32*I32)</f>
        <v>85005.85587480002</v>
      </c>
      <c r="L32" s="6">
        <f>=(J32*I32)</f>
        <v>25001.677209600006</v>
      </c>
      <c r="M32" s="6">
        <f>=(K32-L32)</f>
        <v>60004.178665200016</v>
      </c>
      <c r="N32" s="23" t="str">
        <f>=IF(H32&gt;E32,"EXCEDE","")</f>
        <v/>
      </c>
    </row>
    <row r="33">
      <c r="A33" s="19">
        <v>4</v>
      </c>
      <c r="B33" s="19" t="str">
        <v>Restauraciones (obturaciones)</v>
      </c>
      <c r="C33" s="16">
        <v>60</v>
      </c>
      <c r="D33" s="24">
        <v>220</v>
      </c>
      <c r="E33" s="24">
        <v>260</v>
      </c>
      <c r="F33" s="16">
        <v>18</v>
      </c>
      <c r="G33" s="6">
        <f>=(C33*((1+Parametros!$C$9)^MAX(0,($A33-1))))</f>
        <v>65.56362</v>
      </c>
      <c r="H33" s="6">
        <f>=(D33*((1+Parametros!$C$10)^MAX(0,($A33-1))))</f>
        <v>254.67750000000004</v>
      </c>
      <c r="I33" s="6">
        <f>=(H33*12)</f>
        <v>3056.1300000000006</v>
      </c>
      <c r="J33" s="6">
        <f>=(F33*((1+Parametros!$C$8)^MAX(0,($A33-1))))</f>
        <v>20.247552000000002</v>
      </c>
      <c r="K33" s="6">
        <f>=(G33*I33)</f>
        <v>200370.94599060004</v>
      </c>
      <c r="L33" s="6">
        <f>=(J33*I33)</f>
        <v>61879.15109376002</v>
      </c>
      <c r="M33" s="6">
        <f>=(K33-L33)</f>
        <v>138491.79489684003</v>
      </c>
      <c r="N33" s="23" t="str">
        <f>=IF(H33&gt;E33,"EXCEDE","")</f>
        <v/>
      </c>
    </row>
    <row r="34">
      <c r="A34" s="19">
        <v>4</v>
      </c>
      <c r="B34" s="19" t="str">
        <v>Endodoncia</v>
      </c>
      <c r="C34" s="16">
        <v>150</v>
      </c>
      <c r="D34" s="24">
        <v>70</v>
      </c>
      <c r="E34" s="24">
        <v>90</v>
      </c>
      <c r="F34" s="16">
        <v>40</v>
      </c>
      <c r="G34" s="6">
        <f>=(C34*((1+Parametros!$C$9)^MAX(0,($A34-1))))</f>
        <v>163.90905</v>
      </c>
      <c r="H34" s="6">
        <f>=(D34*((1+Parametros!$C$10)^MAX(0,($A34-1))))</f>
        <v>81.03375000000001</v>
      </c>
      <c r="I34" s="6">
        <f>=(H34*12)</f>
        <v>972.4050000000002</v>
      </c>
      <c r="J34" s="6">
        <f>=(F34*((1+Parametros!$C$8)^MAX(0,($A34-1))))</f>
        <v>44.99456000000001</v>
      </c>
      <c r="K34" s="6">
        <f>=(G34*I34)</f>
        <v>159385.97976525003</v>
      </c>
      <c r="L34" s="6">
        <f>=(J34*I34)</f>
        <v>43752.935116800014</v>
      </c>
      <c r="M34" s="6">
        <f>=(K34-L34)</f>
        <v>115633.04464845001</v>
      </c>
      <c r="N34" s="23" t="str">
        <f>=IF(H34&gt;E34,"EXCEDE","")</f>
        <v/>
      </c>
    </row>
    <row r="35">
      <c r="A35" s="19">
        <v>4</v>
      </c>
      <c r="B35" s="19" t="str">
        <v>Periodoncia</v>
      </c>
      <c r="C35" s="16">
        <v>120</v>
      </c>
      <c r="D35" s="24">
        <v>60</v>
      </c>
      <c r="E35" s="24">
        <v>80</v>
      </c>
      <c r="F35" s="16">
        <v>30</v>
      </c>
      <c r="G35" s="6">
        <f>=(C35*((1+Parametros!$C$9)^MAX(0,($A35-1))))</f>
        <v>131.12724</v>
      </c>
      <c r="H35" s="6">
        <f>=(D35*((1+Parametros!$C$10)^MAX(0,($A35-1))))</f>
        <v>69.45750000000001</v>
      </c>
      <c r="I35" s="6">
        <f>=(H35*12)</f>
        <v>833.4900000000001</v>
      </c>
      <c r="J35" s="6">
        <f>=(F35*((1+Parametros!$C$8)^MAX(0,($A35-1))))</f>
        <v>33.745920000000005</v>
      </c>
      <c r="K35" s="6">
        <f>=(G35*I35)</f>
        <v>109293.24326760002</v>
      </c>
      <c r="L35" s="6">
        <f>=(J35*I35)</f>
        <v>28126.88686080001</v>
      </c>
      <c r="M35" s="6">
        <f>=(K35-L35)</f>
        <v>81166.35640680001</v>
      </c>
      <c r="N35" s="23" t="str">
        <f>=IF(H35&gt;E35,"EXCEDE","")</f>
        <v/>
      </c>
    </row>
    <row r="36">
      <c r="A36" s="19">
        <v>4</v>
      </c>
      <c r="B36" s="19" t="str">
        <v>Cirugía oral</v>
      </c>
      <c r="C36" s="16">
        <v>180</v>
      </c>
      <c r="D36" s="24">
        <v>35</v>
      </c>
      <c r="E36" s="24">
        <v>45</v>
      </c>
      <c r="F36" s="16">
        <v>45</v>
      </c>
      <c r="G36" s="6">
        <f>=(C36*((1+Parametros!$C$9)^MAX(0,($A36-1))))</f>
        <v>196.69086</v>
      </c>
      <c r="H36" s="6">
        <f>=(D36*((1+Parametros!$C$10)^MAX(0,($A36-1))))</f>
        <v>40.516875000000006</v>
      </c>
      <c r="I36" s="6">
        <f>=(H36*12)</f>
        <v>486.2025000000001</v>
      </c>
      <c r="J36" s="6">
        <f>=(F36*((1+Parametros!$C$8)^MAX(0,($A36-1))))</f>
        <v>50.618880000000004</v>
      </c>
      <c r="K36" s="6">
        <f>=(G36*I36)</f>
        <v>95631.58785915001</v>
      </c>
      <c r="L36" s="6">
        <f>=(J36*I36)</f>
        <v>24611.026003200008</v>
      </c>
      <c r="M36" s="6">
        <f>=(K36-L36)</f>
        <v>71020.56185595</v>
      </c>
      <c r="N36" s="23" t="str">
        <f>=IF(H36&gt;E36,"EXCEDE","")</f>
        <v/>
      </c>
    </row>
    <row r="37">
      <c r="A37" s="19">
        <v>4</v>
      </c>
      <c r="B37" s="19" t="str">
        <v>Prótesis estomatológica</v>
      </c>
      <c r="C37" s="16">
        <v>400</v>
      </c>
      <c r="D37" s="24">
        <v>28</v>
      </c>
      <c r="E37" s="24">
        <v>40</v>
      </c>
      <c r="F37" s="16">
        <v>120</v>
      </c>
      <c r="G37" s="6">
        <f>=(C37*((1+Parametros!$C$9)^MAX(0,($A37-1))))</f>
        <v>437.0908</v>
      </c>
      <c r="H37" s="6">
        <f>=(D37*((1+Parametros!$C$10)^MAX(0,($A37-1))))</f>
        <v>32.413500000000006</v>
      </c>
      <c r="I37" s="6">
        <f>=(H37*12)</f>
        <v>388.9620000000001</v>
      </c>
      <c r="J37" s="6">
        <f>=(F37*((1+Parametros!$C$8)^MAX(0,($A37-1))))</f>
        <v>134.98368000000002</v>
      </c>
      <c r="K37" s="6">
        <f>=(G37*I37)</f>
        <v>170011.71174960004</v>
      </c>
      <c r="L37" s="6">
        <f>=(J37*I37)</f>
        <v>52503.52214016002</v>
      </c>
      <c r="M37" s="6">
        <f>=(K37-L37)</f>
        <v>117508.18960944001</v>
      </c>
      <c r="N37" s="23" t="str">
        <f>=IF(H37&gt;E37,"EXCEDE","")</f>
        <v/>
      </c>
    </row>
    <row r="38">
      <c r="A38" s="19">
        <v>4</v>
      </c>
      <c r="B38" s="19" t="str">
        <v>Ortodoncia</v>
      </c>
      <c r="C38" s="16">
        <v>1200</v>
      </c>
      <c r="D38" s="24">
        <v>9</v>
      </c>
      <c r="E38" s="24">
        <v>15</v>
      </c>
      <c r="F38" s="16">
        <v>300</v>
      </c>
      <c r="G38" s="6">
        <f>=(C38*((1+Parametros!$C$9)^MAX(0,($A38-1))))</f>
        <v>1311.2724</v>
      </c>
      <c r="H38" s="6">
        <f>=(D38*((1+Parametros!$C$10)^MAX(0,($A38-1))))</f>
        <v>10.418625</v>
      </c>
      <c r="I38" s="6">
        <f>=(H38*12)</f>
        <v>125.02350000000001</v>
      </c>
      <c r="J38" s="6">
        <f>=(F38*((1+Parametros!$C$8)^MAX(0,($A38-1))))</f>
        <v>337.4592</v>
      </c>
      <c r="K38" s="6">
        <f>=(G38*I38)</f>
        <v>163939.86490140003</v>
      </c>
      <c r="L38" s="6">
        <f>=(J38*I38)</f>
        <v>42190.33029120001</v>
      </c>
      <c r="M38" s="6">
        <f>=(K38-L38)</f>
        <v>121749.53461020002</v>
      </c>
      <c r="N38" s="23" t="str">
        <f>=IF(H38&gt;E38,"EXCEDE","")</f>
        <v/>
      </c>
    </row>
    <row r="39">
      <c r="A39" s="19">
        <v>4</v>
      </c>
      <c r="B39" s="19" t="str">
        <v>Imagenología dental</v>
      </c>
      <c r="C39" s="16">
        <v>45</v>
      </c>
      <c r="D39" s="24">
        <v>130</v>
      </c>
      <c r="E39" s="24">
        <v>160</v>
      </c>
      <c r="F39" s="16">
        <v>8</v>
      </c>
      <c r="G39" s="6">
        <f>=(C39*((1+Parametros!$C$9)^MAX(0,($A39-1))))</f>
        <v>49.172715</v>
      </c>
      <c r="H39" s="6">
        <f>=(D39*((1+Parametros!$C$10)^MAX(0,($A39-1))))</f>
        <v>150.49125</v>
      </c>
      <c r="I39" s="6">
        <f>=(H39*12)</f>
        <v>1805.895</v>
      </c>
      <c r="J39" s="6">
        <f>=(F39*((1+Parametros!$C$8)^MAX(0,($A39-1))))</f>
        <v>8.998912</v>
      </c>
      <c r="K39" s="6">
        <f>=(G39*I39)</f>
        <v>88800.760154925</v>
      </c>
      <c r="L39" s="6">
        <f>=(J39*I39)</f>
        <v>16251.09018624</v>
      </c>
      <c r="M39" s="6">
        <f>=(K39-L39)</f>
        <v>72549.66996868499</v>
      </c>
      <c r="N39" s="23" t="str">
        <f>=IF(H39&gt;E39,"EXCEDE","")</f>
        <v/>
      </c>
    </row>
    <row r="40">
      <c r="A40" s="19">
        <v>5</v>
      </c>
      <c r="B40" s="19" t="str">
        <v>Consulta estomatológica</v>
      </c>
      <c r="C40" s="16">
        <v>25</v>
      </c>
      <c r="D40" s="24">
        <v>400</v>
      </c>
      <c r="E40" s="24">
        <v>440</v>
      </c>
      <c r="F40" s="16">
        <v>6</v>
      </c>
      <c r="G40" s="6">
        <f>=(C40*((1+Parametros!$C$9)^MAX(0,($A40-1))))</f>
        <v>28.137720249999997</v>
      </c>
      <c r="H40" s="6">
        <f>=(D40*((1+Parametros!$C$10)^MAX(0,($A40-1))))</f>
        <v>486.2025</v>
      </c>
      <c r="I40" s="6">
        <f>=(H40*12)</f>
        <v>5834.43</v>
      </c>
      <c r="J40" s="6">
        <f>=(F40*((1+Parametros!$C$8)^MAX(0,($A40-1))))</f>
        <v>7.019151360000001</v>
      </c>
      <c r="K40" s="6">
        <f>=(G40*I40)</f>
        <v>164167.5591582075</v>
      </c>
      <c r="L40" s="6">
        <f>=(J40*I40)</f>
        <v>40952.74726932481</v>
      </c>
      <c r="M40" s="6">
        <f>=(K40-L40)</f>
        <v>123214.81188888269</v>
      </c>
      <c r="N40" s="23" t="str">
        <f>=IF(H40&gt;E40,"EXCEDE","")</f>
        <v>EXCEDE</v>
      </c>
    </row>
    <row r="41">
      <c r="A41" s="19">
        <v>5</v>
      </c>
      <c r="B41" s="19" t="str">
        <v>Odontología preventiva (profilaxis y sellado)</v>
      </c>
      <c r="C41" s="16">
        <v>35</v>
      </c>
      <c r="D41" s="24">
        <v>160</v>
      </c>
      <c r="E41" s="24">
        <v>200</v>
      </c>
      <c r="F41" s="16">
        <v>10</v>
      </c>
      <c r="G41" s="6">
        <f>=(C41*((1+Parametros!$C$9)^MAX(0,($A41-1))))</f>
        <v>39.392808349999996</v>
      </c>
      <c r="H41" s="6">
        <f>=(D41*((1+Parametros!$C$10)^MAX(0,($A41-1))))</f>
        <v>194.481</v>
      </c>
      <c r="I41" s="6">
        <f>=(H41*12)</f>
        <v>2333.772</v>
      </c>
      <c r="J41" s="6">
        <f>=(F41*((1+Parametros!$C$8)^MAX(0,($A41-1))))</f>
        <v>11.698585600000001</v>
      </c>
      <c r="K41" s="6">
        <f>=(G41*I41)</f>
        <v>91933.83312859619</v>
      </c>
      <c r="L41" s="6">
        <f>=(J41*I41)</f>
        <v>27301.831512883204</v>
      </c>
      <c r="M41" s="6">
        <f>=(K41-L41)</f>
        <v>64632.00161571299</v>
      </c>
      <c r="N41" s="23" t="str">
        <f>=IF(H41&gt;E41,"EXCEDE","")</f>
        <v/>
      </c>
    </row>
    <row r="42">
      <c r="A42" s="19">
        <v>5</v>
      </c>
      <c r="B42" s="19" t="str">
        <v>Restauraciones (obturaciones)</v>
      </c>
      <c r="C42" s="16">
        <v>60</v>
      </c>
      <c r="D42" s="24">
        <v>220</v>
      </c>
      <c r="E42" s="24">
        <v>260</v>
      </c>
      <c r="F42" s="16">
        <v>18</v>
      </c>
      <c r="G42" s="6">
        <f>=(C42*((1+Parametros!$C$9)^MAX(0,($A42-1))))</f>
        <v>67.5305286</v>
      </c>
      <c r="H42" s="6">
        <f>=(D42*((1+Parametros!$C$10)^MAX(0,($A42-1))))</f>
        <v>267.411375</v>
      </c>
      <c r="I42" s="6">
        <f>=(H42*12)</f>
        <v>3208.9365000000003</v>
      </c>
      <c r="J42" s="6">
        <f>=(F42*((1+Parametros!$C$8)^MAX(0,($A42-1))))</f>
        <v>21.057454080000003</v>
      </c>
      <c r="K42" s="6">
        <f>=(G42*I42)</f>
        <v>216701.1780888339</v>
      </c>
      <c r="L42" s="6">
        <f>=(J42*I42)</f>
        <v>67572.03299438594</v>
      </c>
      <c r="M42" s="6">
        <f>=(K42-L42)</f>
        <v>149129.14509444794</v>
      </c>
      <c r="N42" s="23" t="str">
        <f>=IF(H42&gt;E42,"EXCEDE","")</f>
        <v>EXCEDE</v>
      </c>
    </row>
    <row r="43">
      <c r="A43" s="19">
        <v>5</v>
      </c>
      <c r="B43" s="19" t="str">
        <v>Endodoncia</v>
      </c>
      <c r="C43" s="16">
        <v>150</v>
      </c>
      <c r="D43" s="24">
        <v>70</v>
      </c>
      <c r="E43" s="24">
        <v>90</v>
      </c>
      <c r="F43" s="16">
        <v>40</v>
      </c>
      <c r="G43" s="6">
        <f>=(C43*((1+Parametros!$C$9)^MAX(0,($A43-1))))</f>
        <v>168.82632149999998</v>
      </c>
      <c r="H43" s="6">
        <f>=(D43*((1+Parametros!$C$10)^MAX(0,($A43-1))))</f>
        <v>85.0854375</v>
      </c>
      <c r="I43" s="6">
        <f>=(H43*12)</f>
        <v>1021.0252499999999</v>
      </c>
      <c r="J43" s="6">
        <f>=(F43*((1+Parametros!$C$8)^MAX(0,($A43-1))))</f>
        <v>46.794342400000005</v>
      </c>
      <c r="K43" s="6">
        <f>=(G43*I43)</f>
        <v>172375.93711611783</v>
      </c>
      <c r="L43" s="6">
        <f>=(J43*I43)</f>
        <v>47778.2051475456</v>
      </c>
      <c r="M43" s="6">
        <f>=(K43-L43)</f>
        <v>124597.73196857222</v>
      </c>
      <c r="N43" s="23" t="str">
        <f>=IF(H43&gt;E43,"EXCEDE","")</f>
        <v/>
      </c>
    </row>
    <row r="44">
      <c r="A44" s="19">
        <v>5</v>
      </c>
      <c r="B44" s="19" t="str">
        <v>Periodoncia</v>
      </c>
      <c r="C44" s="16">
        <v>120</v>
      </c>
      <c r="D44" s="24">
        <v>60</v>
      </c>
      <c r="E44" s="24">
        <v>80</v>
      </c>
      <c r="F44" s="16">
        <v>30</v>
      </c>
      <c r="G44" s="6">
        <f>=(C44*((1+Parametros!$C$9)^MAX(0,($A44-1))))</f>
        <v>135.0610572</v>
      </c>
      <c r="H44" s="6">
        <f>=(D44*((1+Parametros!$C$10)^MAX(0,($A44-1))))</f>
        <v>72.930375</v>
      </c>
      <c r="I44" s="6">
        <f>=(H44*12)</f>
        <v>875.1645</v>
      </c>
      <c r="J44" s="6">
        <f>=(F44*((1+Parametros!$C$8)^MAX(0,($A44-1))))</f>
        <v>35.095756800000004</v>
      </c>
      <c r="K44" s="6">
        <f>=(G44*I44)</f>
        <v>118200.64259390939</v>
      </c>
      <c r="L44" s="6">
        <f>=(J44*I44)</f>
        <v>30714.560451993602</v>
      </c>
      <c r="M44" s="6">
        <f>=(K44-L44)</f>
        <v>87486.08214191579</v>
      </c>
      <c r="N44" s="23" t="str">
        <f>=IF(H44&gt;E44,"EXCEDE","")</f>
        <v/>
      </c>
    </row>
    <row r="45">
      <c r="A45" s="19">
        <v>5</v>
      </c>
      <c r="B45" s="19" t="str">
        <v>Cirugía oral</v>
      </c>
      <c r="C45" s="16">
        <v>180</v>
      </c>
      <c r="D45" s="24">
        <v>35</v>
      </c>
      <c r="E45" s="24">
        <v>45</v>
      </c>
      <c r="F45" s="16">
        <v>45</v>
      </c>
      <c r="G45" s="6">
        <f>=(C45*((1+Parametros!$C$9)^MAX(0,($A45-1))))</f>
        <v>202.5915858</v>
      </c>
      <c r="H45" s="6">
        <f>=(D45*((1+Parametros!$C$10)^MAX(0,($A45-1))))</f>
        <v>42.54271875</v>
      </c>
      <c r="I45" s="6">
        <f>=(H45*12)</f>
        <v>510.51262499999996</v>
      </c>
      <c r="J45" s="6">
        <f>=(F45*((1+Parametros!$C$8)^MAX(0,($A45-1))))</f>
        <v>52.64363520000001</v>
      </c>
      <c r="K45" s="6">
        <f>=(G45*I45)</f>
        <v>103425.56226967071</v>
      </c>
      <c r="L45" s="6">
        <f>=(J45*I45)</f>
        <v>26875.240395494406</v>
      </c>
      <c r="M45" s="6">
        <f>=(K45-L45)</f>
        <v>76550.32187417631</v>
      </c>
      <c r="N45" s="23" t="str">
        <f>=IF(H45&gt;E45,"EXCEDE","")</f>
        <v/>
      </c>
    </row>
    <row r="46">
      <c r="A46" s="19">
        <v>5</v>
      </c>
      <c r="B46" s="19" t="str">
        <v>Prótesis estomatológica</v>
      </c>
      <c r="C46" s="16">
        <v>400</v>
      </c>
      <c r="D46" s="24">
        <v>28</v>
      </c>
      <c r="E46" s="24">
        <v>40</v>
      </c>
      <c r="F46" s="16">
        <v>120</v>
      </c>
      <c r="G46" s="6">
        <f>=(C46*((1+Parametros!$C$9)^MAX(0,($A46-1))))</f>
        <v>450.20352399999996</v>
      </c>
      <c r="H46" s="6">
        <f>=(D46*((1+Parametros!$C$10)^MAX(0,($A46-1))))</f>
        <v>34.034175</v>
      </c>
      <c r="I46" s="6">
        <f>=(H46*12)</f>
        <v>408.41009999999994</v>
      </c>
      <c r="J46" s="6">
        <f>=(F46*((1+Parametros!$C$8)^MAX(0,($A46-1))))</f>
        <v>140.38302720000002</v>
      </c>
      <c r="K46" s="6">
        <f>=(G46*I46)</f>
        <v>183867.66625719235</v>
      </c>
      <c r="L46" s="6">
        <f>=(J46*I46)</f>
        <v>57333.846177054715</v>
      </c>
      <c r="M46" s="6">
        <f>=(K46-L46)</f>
        <v>126533.82008013764</v>
      </c>
      <c r="N46" s="23" t="str">
        <f>=IF(H46&gt;E46,"EXCEDE","")</f>
        <v/>
      </c>
    </row>
    <row r="47">
      <c r="A47" s="19">
        <v>5</v>
      </c>
      <c r="B47" s="19" t="str">
        <v>Ortodoncia</v>
      </c>
      <c r="C47" s="16">
        <v>1200</v>
      </c>
      <c r="D47" s="24">
        <v>9</v>
      </c>
      <c r="E47" s="24">
        <v>15</v>
      </c>
      <c r="F47" s="16">
        <v>300</v>
      </c>
      <c r="G47" s="6">
        <f>=(C47*((1+Parametros!$C$9)^MAX(0,($A47-1))))</f>
        <v>1350.6105719999998</v>
      </c>
      <c r="H47" s="6">
        <f>=(D47*((1+Parametros!$C$10)^MAX(0,($A47-1))))</f>
        <v>10.93955625</v>
      </c>
      <c r="I47" s="6">
        <f>=(H47*12)</f>
        <v>131.274675</v>
      </c>
      <c r="J47" s="6">
        <f>=(F47*((1+Parametros!$C$8)^MAX(0,($A47-1))))</f>
        <v>350.95756800000004</v>
      </c>
      <c r="K47" s="6">
        <f>=(G47*I47)</f>
        <v>177300.96389086408</v>
      </c>
      <c r="L47" s="6">
        <f>=(J47*I47)</f>
        <v>46071.8406779904</v>
      </c>
      <c r="M47" s="6">
        <f>=(K47-L47)</f>
        <v>131229.12321287367</v>
      </c>
      <c r="N47" s="23" t="str">
        <f>=IF(H47&gt;E47,"EXCEDE","")</f>
        <v/>
      </c>
    </row>
    <row r="48">
      <c r="A48" s="19">
        <v>5</v>
      </c>
      <c r="B48" s="19" t="str">
        <v>Imagenología dental</v>
      </c>
      <c r="C48" s="16">
        <v>45</v>
      </c>
      <c r="D48" s="24">
        <v>130</v>
      </c>
      <c r="E48" s="24">
        <v>160</v>
      </c>
      <c r="F48" s="16">
        <v>8</v>
      </c>
      <c r="G48" s="6">
        <f>=(C48*((1+Parametros!$C$9)^MAX(0,($A48-1))))</f>
        <v>50.64789645</v>
      </c>
      <c r="H48" s="6">
        <f>=(D48*((1+Parametros!$C$10)^MAX(0,($A48-1))))</f>
        <v>158.0158125</v>
      </c>
      <c r="I48" s="6">
        <f>=(H48*12)</f>
        <v>1896.18975</v>
      </c>
      <c r="J48" s="6">
        <f>=(F48*((1+Parametros!$C$8)^MAX(0,($A48-1))))</f>
        <v>9.358868480000002</v>
      </c>
      <c r="K48" s="6">
        <f>=(G48*I48)</f>
        <v>96038.02210755138</v>
      </c>
      <c r="L48" s="6">
        <f>=(J48*I48)</f>
        <v>17746.190483374085</v>
      </c>
      <c r="M48" s="6">
        <f>=(K48-L48)</f>
        <v>78291.8316241773</v>
      </c>
      <c r="N48" s="23" t="str">
        <f>=IF(H48&gt;E48,"EXCEDE","")</f>
        <v/>
      </c>
    </row>
    <row r="49">
      <c r="A49" s="19">
        <v>6</v>
      </c>
      <c r="B49" s="19" t="str">
        <v>Consulta estomatológica</v>
      </c>
      <c r="C49" s="16">
        <v>25</v>
      </c>
      <c r="D49" s="24">
        <v>400</v>
      </c>
      <c r="E49" s="24">
        <v>440</v>
      </c>
      <c r="F49" s="16">
        <v>6</v>
      </c>
      <c r="G49" s="6">
        <f>=(C49*((1+Parametros!$C$9)^MAX(0,($A49-1))))</f>
        <v>28.981851857499997</v>
      </c>
      <c r="H49" s="6">
        <f>=(D49*((1+Parametros!$C$10)^MAX(0,($A49-1))))</f>
        <v>510.51262500000007</v>
      </c>
      <c r="I49" s="6">
        <f>=(H49*12)</f>
        <v>6126.151500000001</v>
      </c>
      <c r="J49" s="6">
        <f>=(F49*((1+Parametros!$C$8)^MAX(0,($A49-1))))</f>
        <v>7.299917414400002</v>
      </c>
      <c r="K49" s="6">
        <f>=(G49*I49)</f>
        <v>177547.21522960142</v>
      </c>
      <c r="L49" s="6">
        <f>=(J49*I49)</f>
        <v>44720.4000181027</v>
      </c>
      <c r="M49" s="6">
        <f>=(K49-L49)</f>
        <v>132826.81521149873</v>
      </c>
      <c r="N49" s="23" t="str">
        <f>=IF(H49&gt;E49,"EXCEDE","")</f>
        <v>EXCEDE</v>
      </c>
    </row>
    <row r="50">
      <c r="A50" s="19">
        <v>6</v>
      </c>
      <c r="B50" s="19" t="str">
        <v>Odontología preventiva (profilaxis y sellado)</v>
      </c>
      <c r="C50" s="16">
        <v>35</v>
      </c>
      <c r="D50" s="24">
        <v>160</v>
      </c>
      <c r="E50" s="24">
        <v>200</v>
      </c>
      <c r="F50" s="16">
        <v>10</v>
      </c>
      <c r="G50" s="6">
        <f>=(C50*((1+Parametros!$C$9)^MAX(0,($A50-1))))</f>
        <v>40.5745926005</v>
      </c>
      <c r="H50" s="6">
        <f>=(D50*((1+Parametros!$C$10)^MAX(0,($A50-1))))</f>
        <v>204.20505000000003</v>
      </c>
      <c r="I50" s="6">
        <f>=(H50*12)</f>
        <v>2450.4606000000003</v>
      </c>
      <c r="J50" s="6">
        <f>=(F50*((1+Parametros!$C$8)^MAX(0,($A50-1))))</f>
        <v>12.166529024000003</v>
      </c>
      <c r="K50" s="6">
        <f>=(G50*I50)</f>
        <v>99426.4405285768</v>
      </c>
      <c r="L50" s="6">
        <f>=(J50*I50)</f>
        <v>29813.600012068466</v>
      </c>
      <c r="M50" s="6">
        <f>=(K50-L50)</f>
        <v>69612.84051650834</v>
      </c>
      <c r="N50" s="23" t="str">
        <f>=IF(H50&gt;E50,"EXCEDE","")</f>
        <v>EXCEDE</v>
      </c>
    </row>
    <row r="51">
      <c r="A51" s="19">
        <v>6</v>
      </c>
      <c r="B51" s="19" t="str">
        <v>Restauraciones (obturaciones)</v>
      </c>
      <c r="C51" s="16">
        <v>60</v>
      </c>
      <c r="D51" s="24">
        <v>220</v>
      </c>
      <c r="E51" s="24">
        <v>260</v>
      </c>
      <c r="F51" s="16">
        <v>18</v>
      </c>
      <c r="G51" s="6">
        <f>=(C51*((1+Parametros!$C$9)^MAX(0,($A51-1))))</f>
        <v>69.55644445799999</v>
      </c>
      <c r="H51" s="6">
        <f>=(D51*((1+Parametros!$C$10)^MAX(0,($A51-1))))</f>
        <v>280.78194375000004</v>
      </c>
      <c r="I51" s="6">
        <f>=(H51*12)</f>
        <v>3369.3833250000007</v>
      </c>
      <c r="J51" s="6">
        <f>=(F51*((1+Parametros!$C$8)^MAX(0,($A51-1))))</f>
        <v>21.899752243200005</v>
      </c>
      <c r="K51" s="6">
        <f>=(G51*I51)</f>
        <v>234362.32410307386</v>
      </c>
      <c r="L51" s="6">
        <f>=(J51*I51)</f>
        <v>73788.66002986945</v>
      </c>
      <c r="M51" s="6">
        <f>=(K51-L51)</f>
        <v>160573.6640732044</v>
      </c>
      <c r="N51" s="23" t="str">
        <f>=IF(H51&gt;E51,"EXCEDE","")</f>
        <v>EXCEDE</v>
      </c>
    </row>
    <row r="52">
      <c r="A52" s="19">
        <v>6</v>
      </c>
      <c r="B52" s="19" t="str">
        <v>Endodoncia</v>
      </c>
      <c r="C52" s="16">
        <v>150</v>
      </c>
      <c r="D52" s="24">
        <v>70</v>
      </c>
      <c r="E52" s="24">
        <v>90</v>
      </c>
      <c r="F52" s="16">
        <v>40</v>
      </c>
      <c r="G52" s="6">
        <f>=(C52*((1+Parametros!$C$9)^MAX(0,($A52-1))))</f>
        <v>173.89111114499997</v>
      </c>
      <c r="H52" s="6">
        <f>=(D52*((1+Parametros!$C$10)^MAX(0,($A52-1))))</f>
        <v>89.33970937500001</v>
      </c>
      <c r="I52" s="6">
        <f>=(H52*12)</f>
        <v>1072.0765125000003</v>
      </c>
      <c r="J52" s="6">
        <f>=(F52*((1+Parametros!$C$8)^MAX(0,($A52-1))))</f>
        <v>48.66611609600001</v>
      </c>
      <c r="K52" s="6">
        <f>=(G52*I52)</f>
        <v>186424.57599108148</v>
      </c>
      <c r="L52" s="6">
        <f>=(J52*I52)</f>
        <v>52173.800021119816</v>
      </c>
      <c r="M52" s="6">
        <f>=(K52-L52)</f>
        <v>134250.77596996166</v>
      </c>
      <c r="N52" s="23" t="str">
        <f>=IF(H52&gt;E52,"EXCEDE","")</f>
        <v/>
      </c>
    </row>
    <row r="53">
      <c r="A53" s="19">
        <v>6</v>
      </c>
      <c r="B53" s="19" t="str">
        <v>Periodoncia</v>
      </c>
      <c r="C53" s="16">
        <v>120</v>
      </c>
      <c r="D53" s="24">
        <v>60</v>
      </c>
      <c r="E53" s="24">
        <v>80</v>
      </c>
      <c r="F53" s="16">
        <v>30</v>
      </c>
      <c r="G53" s="6">
        <f>=(C53*((1+Parametros!$C$9)^MAX(0,($A53-1))))</f>
        <v>139.11288891599997</v>
      </c>
      <c r="H53" s="6">
        <f>=(D53*((1+Parametros!$C$10)^MAX(0,($A53-1))))</f>
        <v>76.57689375000001</v>
      </c>
      <c r="I53" s="6">
        <f>=(H53*12)</f>
        <v>918.9227250000001</v>
      </c>
      <c r="J53" s="6">
        <f>=(F53*((1+Parametros!$C$8)^MAX(0,($A53-1))))</f>
        <v>36.49958707200001</v>
      </c>
      <c r="K53" s="6">
        <f>=(G53*I53)</f>
        <v>127833.99496531302</v>
      </c>
      <c r="L53" s="6">
        <f>=(J53*I53)</f>
        <v>33540.30001357703</v>
      </c>
      <c r="M53" s="6">
        <f>=(K53-L53)</f>
        <v>94293.69495173599</v>
      </c>
      <c r="N53" s="23" t="str">
        <f>=IF(H53&gt;E53,"EXCEDE","")</f>
        <v/>
      </c>
    </row>
    <row r="54">
      <c r="A54" s="19">
        <v>6</v>
      </c>
      <c r="B54" s="19" t="str">
        <v>Cirugía oral</v>
      </c>
      <c r="C54" s="16">
        <v>180</v>
      </c>
      <c r="D54" s="24">
        <v>35</v>
      </c>
      <c r="E54" s="24">
        <v>45</v>
      </c>
      <c r="F54" s="16">
        <v>45</v>
      </c>
      <c r="G54" s="6">
        <f>=(C54*((1+Parametros!$C$9)^MAX(0,($A54-1))))</f>
        <v>208.66933337399996</v>
      </c>
      <c r="H54" s="6">
        <f>=(D54*((1+Parametros!$C$10)^MAX(0,($A54-1))))</f>
        <v>44.669854687500006</v>
      </c>
      <c r="I54" s="6">
        <f>=(H54*12)</f>
        <v>536.0382562500001</v>
      </c>
      <c r="J54" s="6">
        <f>=(F54*((1+Parametros!$C$8)^MAX(0,($A54-1))))</f>
        <v>54.74938060800002</v>
      </c>
      <c r="K54" s="6">
        <f>=(G54*I54)</f>
        <v>111854.74559464889</v>
      </c>
      <c r="L54" s="6">
        <f>=(J54*I54)</f>
        <v>29347.7625118799</v>
      </c>
      <c r="M54" s="6">
        <f>=(K54-L54)</f>
        <v>82506.98308276899</v>
      </c>
      <c r="N54" s="23" t="str">
        <f>=IF(H54&gt;E54,"EXCEDE","")</f>
        <v/>
      </c>
    </row>
    <row r="55">
      <c r="A55" s="19">
        <v>6</v>
      </c>
      <c r="B55" s="19" t="str">
        <v>Prótesis estomatológica</v>
      </c>
      <c r="C55" s="16">
        <v>400</v>
      </c>
      <c r="D55" s="24">
        <v>28</v>
      </c>
      <c r="E55" s="24">
        <v>40</v>
      </c>
      <c r="F55" s="16">
        <v>120</v>
      </c>
      <c r="G55" s="6">
        <f>=(C55*((1+Parametros!$C$9)^MAX(0,($A55-1))))</f>
        <v>463.70962971999995</v>
      </c>
      <c r="H55" s="6">
        <f>=(D55*((1+Parametros!$C$10)^MAX(0,($A55-1))))</f>
        <v>35.735883750000006</v>
      </c>
      <c r="I55" s="6">
        <f>=(H55*12)</f>
        <v>428.8306050000001</v>
      </c>
      <c r="J55" s="6">
        <f>=(F55*((1+Parametros!$C$8)^MAX(0,($A55-1))))</f>
        <v>145.99834828800005</v>
      </c>
      <c r="K55" s="6">
        <f>=(G55*I55)</f>
        <v>198852.8810571536</v>
      </c>
      <c r="L55" s="6">
        <f>=(J55*I55)</f>
        <v>62608.56002534379</v>
      </c>
      <c r="M55" s="6">
        <f>=(K55-L55)</f>
        <v>136244.3210318098</v>
      </c>
      <c r="N55" s="23" t="str">
        <f>=IF(H55&gt;E55,"EXCEDE","")</f>
        <v/>
      </c>
    </row>
    <row r="56">
      <c r="A56" s="19">
        <v>6</v>
      </c>
      <c r="B56" s="19" t="str">
        <v>Ortodoncia</v>
      </c>
      <c r="C56" s="16">
        <v>1200</v>
      </c>
      <c r="D56" s="24">
        <v>9</v>
      </c>
      <c r="E56" s="24">
        <v>15</v>
      </c>
      <c r="F56" s="16">
        <v>300</v>
      </c>
      <c r="G56" s="6">
        <f>=(C56*((1+Parametros!$C$9)^MAX(0,($A56-1))))</f>
        <v>1391.1288891599997</v>
      </c>
      <c r="H56" s="6">
        <f>=(D56*((1+Parametros!$C$10)^MAX(0,($A56-1))))</f>
        <v>11.4865340625</v>
      </c>
      <c r="I56" s="6">
        <f>=(H56*12)</f>
        <v>137.83840875</v>
      </c>
      <c r="J56" s="6">
        <f>=(F56*((1+Parametros!$C$8)^MAX(0,($A56-1))))</f>
        <v>364.9958707200001</v>
      </c>
      <c r="K56" s="6">
        <f>=(G56*I56)</f>
        <v>191750.9924479695</v>
      </c>
      <c r="L56" s="6">
        <f>=(J56*I56)</f>
        <v>50310.45002036553</v>
      </c>
      <c r="M56" s="6">
        <f>=(K56-L56)</f>
        <v>141440.54242760397</v>
      </c>
      <c r="N56" s="23" t="str">
        <f>=IF(H56&gt;E56,"EXCEDE","")</f>
        <v/>
      </c>
    </row>
    <row r="57">
      <c r="A57" s="19">
        <v>6</v>
      </c>
      <c r="B57" s="19" t="str">
        <v>Imagenología dental</v>
      </c>
      <c r="C57" s="16">
        <v>45</v>
      </c>
      <c r="D57" s="24">
        <v>130</v>
      </c>
      <c r="E57" s="24">
        <v>160</v>
      </c>
      <c r="F57" s="16">
        <v>8</v>
      </c>
      <c r="G57" s="6">
        <f>=(C57*((1+Parametros!$C$9)^MAX(0,($A57-1))))</f>
        <v>52.16733334349999</v>
      </c>
      <c r="H57" s="6">
        <f>=(D57*((1+Parametros!$C$10)^MAX(0,($A57-1))))</f>
        <v>165.91660312500002</v>
      </c>
      <c r="I57" s="6">
        <f>=(H57*12)</f>
        <v>1990.9992375000002</v>
      </c>
      <c r="J57" s="6">
        <f>=(F57*((1+Parametros!$C$8)^MAX(0,($A57-1))))</f>
        <v>9.733223219200003</v>
      </c>
      <c r="K57" s="6">
        <f>=(G57*I57)</f>
        <v>103865.12090931681</v>
      </c>
      <c r="L57" s="6">
        <f>=(J57*I57)</f>
        <v>19378.8400078445</v>
      </c>
      <c r="M57" s="6">
        <f>=(K57-L57)</f>
        <v>84486.28090147232</v>
      </c>
      <c r="N57" s="23" t="str">
        <f>=IF(H57&gt;E57,"EXCEDE","")</f>
        <v>EXCEDE</v>
      </c>
    </row>
    <row r="58">
      <c r="A58" s="19">
        <v>7</v>
      </c>
      <c r="B58" s="19" t="str">
        <v>Consulta estomatológica</v>
      </c>
      <c r="C58" s="16">
        <v>25</v>
      </c>
      <c r="D58" s="24">
        <v>400</v>
      </c>
      <c r="E58" s="24">
        <v>440</v>
      </c>
      <c r="F58" s="16">
        <v>6</v>
      </c>
      <c r="G58" s="6">
        <f>=(C58*((1+Parametros!$C$9)^MAX(0,($A58-1))))</f>
        <v>29.851307413224998</v>
      </c>
      <c r="H58" s="6">
        <f>=(D58*((1+Parametros!$C$10)^MAX(0,($A58-1))))</f>
        <v>536.03825625</v>
      </c>
      <c r="I58" s="6">
        <f>=(H58*12)</f>
        <v>6432.459075000001</v>
      </c>
      <c r="J58" s="6">
        <f>=(F58*((1+Parametros!$C$8)^MAX(0,($A58-1))))</f>
        <v>7.591914110976003</v>
      </c>
      <c r="K58" s="6">
        <f>=(G58*I58)</f>
        <v>192017.31327081393</v>
      </c>
      <c r="L58" s="6">
        <f>=(J58*I58)</f>
        <v>48834.67681976815</v>
      </c>
      <c r="M58" s="6">
        <f>=(K58-L58)</f>
        <v>143182.63645104578</v>
      </c>
      <c r="N58" s="23" t="str">
        <f>=IF(H58&gt;E58,"EXCEDE","")</f>
        <v>EXCEDE</v>
      </c>
    </row>
    <row r="59">
      <c r="A59" s="19">
        <v>7</v>
      </c>
      <c r="B59" s="19" t="str">
        <v>Odontología preventiva (profilaxis y sellado)</v>
      </c>
      <c r="C59" s="16">
        <v>35</v>
      </c>
      <c r="D59" s="24">
        <v>160</v>
      </c>
      <c r="E59" s="24">
        <v>200</v>
      </c>
      <c r="F59" s="16">
        <v>10</v>
      </c>
      <c r="G59" s="6">
        <f>=(C59*((1+Parametros!$C$9)^MAX(0,($A59-1))))</f>
        <v>41.791830378514994</v>
      </c>
      <c r="H59" s="6">
        <f>=(D59*((1+Parametros!$C$10)^MAX(0,($A59-1))))</f>
        <v>214.4153025</v>
      </c>
      <c r="I59" s="6">
        <f>=(H59*12)</f>
        <v>2572.9836299999997</v>
      </c>
      <c r="J59" s="6">
        <f>=(F59*((1+Parametros!$C$8)^MAX(0,($A59-1))))</f>
        <v>12.653190184960003</v>
      </c>
      <c r="K59" s="6">
        <f>=(G59*I59)</f>
        <v>107529.69543165577</v>
      </c>
      <c r="L59" s="6">
        <f>=(J59*I59)</f>
        <v>32556.451213178756</v>
      </c>
      <c r="M59" s="6">
        <f>=(K59-L59)</f>
        <v>74973.24421847702</v>
      </c>
      <c r="N59" s="23" t="str">
        <f>=IF(H59&gt;E59,"EXCEDE","")</f>
        <v>EXCEDE</v>
      </c>
    </row>
    <row r="60">
      <c r="A60" s="19">
        <v>7</v>
      </c>
      <c r="B60" s="19" t="str">
        <v>Restauraciones (obturaciones)</v>
      </c>
      <c r="C60" s="16">
        <v>60</v>
      </c>
      <c r="D60" s="24">
        <v>220</v>
      </c>
      <c r="E60" s="24">
        <v>260</v>
      </c>
      <c r="F60" s="16">
        <v>18</v>
      </c>
      <c r="G60" s="6">
        <f>=(C60*((1+Parametros!$C$9)^MAX(0,($A60-1))))</f>
        <v>71.64313779173999</v>
      </c>
      <c r="H60" s="6">
        <f>=(D60*((1+Parametros!$C$10)^MAX(0,($A60-1))))</f>
        <v>294.8210409375</v>
      </c>
      <c r="I60" s="6">
        <f>=(H60*12)</f>
        <v>3537.85249125</v>
      </c>
      <c r="J60" s="6">
        <f>=(F60*((1+Parametros!$C$8)^MAX(0,($A60-1))))</f>
        <v>22.775742332928008</v>
      </c>
      <c r="K60" s="6">
        <f>=(G60*I60)</f>
        <v>253462.85351747434</v>
      </c>
      <c r="L60" s="6">
        <f>=(J60*I60)</f>
        <v>80577.21675261745</v>
      </c>
      <c r="M60" s="6">
        <f>=(K60-L60)</f>
        <v>172885.6367648569</v>
      </c>
      <c r="N60" s="23" t="str">
        <f>=IF(H60&gt;E60,"EXCEDE","")</f>
        <v>EXCEDE</v>
      </c>
    </row>
    <row r="61">
      <c r="A61" s="19">
        <v>7</v>
      </c>
      <c r="B61" s="19" t="str">
        <v>Endodoncia</v>
      </c>
      <c r="C61" s="16">
        <v>150</v>
      </c>
      <c r="D61" s="24">
        <v>70</v>
      </c>
      <c r="E61" s="24">
        <v>90</v>
      </c>
      <c r="F61" s="16">
        <v>40</v>
      </c>
      <c r="G61" s="6">
        <f>=(C61*((1+Parametros!$C$9)^MAX(0,($A61-1))))</f>
        <v>179.10784447934998</v>
      </c>
      <c r="H61" s="6">
        <f>=(D61*((1+Parametros!$C$10)^MAX(0,($A61-1))))</f>
        <v>93.80669484375</v>
      </c>
      <c r="I61" s="6">
        <f>=(H61*12)</f>
        <v>1125.680338125</v>
      </c>
      <c r="J61" s="6">
        <f>=(F61*((1+Parametros!$C$8)^MAX(0,($A61-1))))</f>
        <v>50.61276073984001</v>
      </c>
      <c r="K61" s="6">
        <f>=(G61*I61)</f>
        <v>201618.1789343546</v>
      </c>
      <c r="L61" s="6">
        <f>=(J61*I61)</f>
        <v>56973.789623062825</v>
      </c>
      <c r="M61" s="6">
        <f>=(K61-L61)</f>
        <v>144644.38931129177</v>
      </c>
      <c r="N61" s="23" t="str">
        <f>=IF(H61&gt;E61,"EXCEDE","")</f>
        <v>EXCEDE</v>
      </c>
    </row>
    <row r="62">
      <c r="A62" s="19">
        <v>7</v>
      </c>
      <c r="B62" s="19" t="str">
        <v>Periodoncia</v>
      </c>
      <c r="C62" s="16">
        <v>120</v>
      </c>
      <c r="D62" s="24">
        <v>60</v>
      </c>
      <c r="E62" s="24">
        <v>80</v>
      </c>
      <c r="F62" s="16">
        <v>30</v>
      </c>
      <c r="G62" s="6">
        <f>=(C62*((1+Parametros!$C$9)^MAX(0,($A62-1))))</f>
        <v>143.28627558347998</v>
      </c>
      <c r="H62" s="6">
        <f>=(D62*((1+Parametros!$C$10)^MAX(0,($A62-1))))</f>
        <v>80.40573843749999</v>
      </c>
      <c r="I62" s="6">
        <f>=(H62*12)</f>
        <v>964.8688612499999</v>
      </c>
      <c r="J62" s="6">
        <f>=(F62*((1+Parametros!$C$8)^MAX(0,($A62-1))))</f>
        <v>37.95957055488001</v>
      </c>
      <c r="K62" s="6">
        <f>=(G62*I62)</f>
        <v>138252.465554986</v>
      </c>
      <c r="L62" s="6">
        <f>=(J62*I62)</f>
        <v>36626.0076148261</v>
      </c>
      <c r="M62" s="6">
        <f>=(K62-L62)</f>
        <v>101626.4579401599</v>
      </c>
      <c r="N62" s="23" t="str">
        <f>=IF(H62&gt;E62,"EXCEDE","")</f>
        <v>EXCEDE</v>
      </c>
    </row>
    <row r="63">
      <c r="A63" s="19">
        <v>7</v>
      </c>
      <c r="B63" s="19" t="str">
        <v>Cirugía oral</v>
      </c>
      <c r="C63" s="16">
        <v>180</v>
      </c>
      <c r="D63" s="24">
        <v>35</v>
      </c>
      <c r="E63" s="24">
        <v>45</v>
      </c>
      <c r="F63" s="16">
        <v>45</v>
      </c>
      <c r="G63" s="6">
        <f>=(C63*((1+Parametros!$C$9)^MAX(0,($A63-1))))</f>
        <v>214.92941337521998</v>
      </c>
      <c r="H63" s="6">
        <f>=(D63*((1+Parametros!$C$10)^MAX(0,($A63-1))))</f>
        <v>46.903347421875</v>
      </c>
      <c r="I63" s="6">
        <f>=(H63*12)</f>
        <v>562.8401690625</v>
      </c>
      <c r="J63" s="6">
        <f>=(F63*((1+Parametros!$C$8)^MAX(0,($A63-1))))</f>
        <v>56.93935583232002</v>
      </c>
      <c r="K63" s="6">
        <f>=(G63*I63)</f>
        <v>120970.90736061275</v>
      </c>
      <c r="L63" s="6">
        <f>=(J63*I63)</f>
        <v>32047.756662972843</v>
      </c>
      <c r="M63" s="6">
        <f>=(K63-L63)</f>
        <v>88923.15069763991</v>
      </c>
      <c r="N63" s="23" t="str">
        <f>=IF(H63&gt;E63,"EXCEDE","")</f>
        <v>EXCEDE</v>
      </c>
    </row>
    <row r="64">
      <c r="A64" s="19">
        <v>7</v>
      </c>
      <c r="B64" s="19" t="str">
        <v>Prótesis estomatológica</v>
      </c>
      <c r="C64" s="16">
        <v>400</v>
      </c>
      <c r="D64" s="24">
        <v>28</v>
      </c>
      <c r="E64" s="24">
        <v>40</v>
      </c>
      <c r="F64" s="16">
        <v>120</v>
      </c>
      <c r="G64" s="6">
        <f>=(C64*((1+Parametros!$C$9)^MAX(0,($A64-1))))</f>
        <v>477.62091861159996</v>
      </c>
      <c r="H64" s="6">
        <f>=(D64*((1+Parametros!$C$10)^MAX(0,($A64-1))))</f>
        <v>37.5226779375</v>
      </c>
      <c r="I64" s="6">
        <f>=(H64*12)</f>
        <v>450.27213525</v>
      </c>
      <c r="J64" s="6">
        <f>=(F64*((1+Parametros!$C$8)^MAX(0,($A64-1))))</f>
        <v>151.83828221952004</v>
      </c>
      <c r="K64" s="6">
        <f>=(G64*I64)</f>
        <v>215059.3908633116</v>
      </c>
      <c r="L64" s="6">
        <f>=(J64*I64)</f>
        <v>68368.5475476754</v>
      </c>
      <c r="M64" s="6">
        <f>=(K64-L64)</f>
        <v>146690.8433156362</v>
      </c>
      <c r="N64" s="23" t="str">
        <f>=IF(H64&gt;E64,"EXCEDE","")</f>
        <v/>
      </c>
    </row>
    <row r="65">
      <c r="A65" s="19">
        <v>7</v>
      </c>
      <c r="B65" s="19" t="str">
        <v>Ortodoncia</v>
      </c>
      <c r="C65" s="16">
        <v>1200</v>
      </c>
      <c r="D65" s="24">
        <v>9</v>
      </c>
      <c r="E65" s="24">
        <v>15</v>
      </c>
      <c r="F65" s="16">
        <v>300</v>
      </c>
      <c r="G65" s="6">
        <f>=(C65*((1+Parametros!$C$9)^MAX(0,($A65-1))))</f>
        <v>1432.8627558347998</v>
      </c>
      <c r="H65" s="6">
        <f>=(D65*((1+Parametros!$C$10)^MAX(0,($A65-1))))</f>
        <v>12.060860765625</v>
      </c>
      <c r="I65" s="6">
        <f>=(H65*12)</f>
        <v>144.7303291875</v>
      </c>
      <c r="J65" s="6">
        <f>=(F65*((1+Parametros!$C$8)^MAX(0,($A65-1))))</f>
        <v>379.5957055488001</v>
      </c>
      <c r="K65" s="6">
        <f>=(G65*I65)</f>
        <v>207378.698332479</v>
      </c>
      <c r="L65" s="6">
        <f>=(J65*I65)</f>
        <v>54939.01142223915</v>
      </c>
      <c r="M65" s="6">
        <f>=(K65-L65)</f>
        <v>152439.68691023983</v>
      </c>
      <c r="N65" s="23" t="str">
        <f>=IF(H65&gt;E65,"EXCEDE","")</f>
        <v/>
      </c>
    </row>
    <row r="66">
      <c r="A66" s="19">
        <v>7</v>
      </c>
      <c r="B66" s="19" t="str">
        <v>Imagenología dental</v>
      </c>
      <c r="C66" s="16">
        <v>45</v>
      </c>
      <c r="D66" s="24">
        <v>130</v>
      </c>
      <c r="E66" s="24">
        <v>160</v>
      </c>
      <c r="F66" s="16">
        <v>8</v>
      </c>
      <c r="G66" s="6">
        <f>=(C66*((1+Parametros!$C$9)^MAX(0,($A66-1))))</f>
        <v>53.732353343804995</v>
      </c>
      <c r="H66" s="6">
        <f>=(D66*((1+Parametros!$C$10)^MAX(0,($A66-1))))</f>
        <v>174.21243328125</v>
      </c>
      <c r="I66" s="6">
        <f>=(H66*12)</f>
        <v>2090.5491993749997</v>
      </c>
      <c r="J66" s="6">
        <f>=(F66*((1+Parametros!$C$8)^MAX(0,($A66-1))))</f>
        <v>10.122552147968003</v>
      </c>
      <c r="K66" s="6">
        <f>=(G66*I66)</f>
        <v>112330.12826342612</v>
      </c>
      <c r="L66" s="6">
        <f>=(J66*I66)</f>
        <v>21161.69328856619</v>
      </c>
      <c r="M66" s="6">
        <f>=(K66-L66)</f>
        <v>91168.43497485992</v>
      </c>
      <c r="N66" s="23" t="str">
        <f>=IF(H66&gt;E66,"EXCEDE","")</f>
        <v>EXCEDE</v>
      </c>
    </row>
    <row r="67">
      <c r="A67" s="19">
        <v>8</v>
      </c>
      <c r="B67" s="19" t="str">
        <v>Consulta estomatológica</v>
      </c>
      <c r="C67" s="16">
        <v>25</v>
      </c>
      <c r="D67" s="24">
        <v>400</v>
      </c>
      <c r="E67" s="24">
        <v>440</v>
      </c>
      <c r="F67" s="16">
        <v>6</v>
      </c>
      <c r="G67" s="6">
        <f>=(C67*((1+Parametros!$C$9)^MAX(0,($A67-1))))</f>
        <v>30.74684663562175</v>
      </c>
      <c r="H67" s="6">
        <f>=(D67*((1+Parametros!$C$10)^MAX(0,($A67-1))))</f>
        <v>562.8401690625001</v>
      </c>
      <c r="I67" s="6">
        <f>=(H67*12)</f>
        <v>6754.082028750001</v>
      </c>
      <c r="J67" s="6">
        <f>=(F67*((1+Parametros!$C$8)^MAX(0,($A67-1))))</f>
        <v>7.895590675415042</v>
      </c>
      <c r="K67" s="6">
        <f>=(G67*I67)</f>
        <v>207666.7243023853</v>
      </c>
      <c r="L67" s="6">
        <f>=(J67*I67)</f>
        <v>53327.467087186815</v>
      </c>
      <c r="M67" s="6">
        <f>=(K67-L67)</f>
        <v>154339.25721519848</v>
      </c>
      <c r="N67" s="23" t="str">
        <f>=IF(H67&gt;E67,"EXCEDE","")</f>
        <v>EXCEDE</v>
      </c>
    </row>
    <row r="68">
      <c r="A68" s="19">
        <v>8</v>
      </c>
      <c r="B68" s="19" t="str">
        <v>Odontología preventiva (profilaxis y sellado)</v>
      </c>
      <c r="C68" s="16">
        <v>35</v>
      </c>
      <c r="D68" s="24">
        <v>160</v>
      </c>
      <c r="E68" s="24">
        <v>200</v>
      </c>
      <c r="F68" s="16">
        <v>10</v>
      </c>
      <c r="G68" s="6">
        <f>=(C68*((1+Parametros!$C$9)^MAX(0,($A68-1))))</f>
        <v>43.04558528987045</v>
      </c>
      <c r="H68" s="6">
        <f>=(D68*((1+Parametros!$C$10)^MAX(0,($A68-1))))</f>
        <v>225.13606762500004</v>
      </c>
      <c r="I68" s="6">
        <f>=(H68*12)</f>
        <v>2701.6328115000006</v>
      </c>
      <c r="J68" s="6">
        <f>=(F68*((1+Parametros!$C$8)^MAX(0,($A68-1))))</f>
        <v>13.159317792358403</v>
      </c>
      <c r="K68" s="6">
        <f>=(G68*I68)</f>
        <v>116293.36560933577</v>
      </c>
      <c r="L68" s="6">
        <f>=(J68*I68)</f>
        <v>35551.644724791215</v>
      </c>
      <c r="M68" s="6">
        <f>=(K68-L68)</f>
        <v>80741.72088454456</v>
      </c>
      <c r="N68" s="23" t="str">
        <f>=IF(H68&gt;E68,"EXCEDE","")</f>
        <v>EXCEDE</v>
      </c>
    </row>
    <row r="69">
      <c r="A69" s="19">
        <v>8</v>
      </c>
      <c r="B69" s="19" t="str">
        <v>Restauraciones (obturaciones)</v>
      </c>
      <c r="C69" s="16">
        <v>60</v>
      </c>
      <c r="D69" s="24">
        <v>220</v>
      </c>
      <c r="E69" s="24">
        <v>260</v>
      </c>
      <c r="F69" s="16">
        <v>18</v>
      </c>
      <c r="G69" s="6">
        <f>=(C69*((1+Parametros!$C$9)^MAX(0,($A69-1))))</f>
        <v>73.7924319254922</v>
      </c>
      <c r="H69" s="6">
        <f>=(D69*((1+Parametros!$C$10)^MAX(0,($A69-1))))</f>
        <v>309.56209298437506</v>
      </c>
      <c r="I69" s="6">
        <f>=(H69*12)</f>
        <v>3714.7451158125004</v>
      </c>
      <c r="J69" s="6">
        <f>=(F69*((1+Parametros!$C$8)^MAX(0,($A69-1))))</f>
        <v>23.686772026245123</v>
      </c>
      <c r="K69" s="6">
        <f>=(G69*I69)</f>
        <v>274120.07607914857</v>
      </c>
      <c r="L69" s="6">
        <f>=(J69*I69)</f>
        <v>87990.32069385823</v>
      </c>
      <c r="M69" s="6">
        <f>=(K69-L69)</f>
        <v>186129.75538529034</v>
      </c>
      <c r="N69" s="23" t="str">
        <f>=IF(H69&gt;E69,"EXCEDE","")</f>
        <v>EXCEDE</v>
      </c>
    </row>
    <row r="70">
      <c r="A70" s="19">
        <v>8</v>
      </c>
      <c r="B70" s="19" t="str">
        <v>Endodoncia</v>
      </c>
      <c r="C70" s="16">
        <v>150</v>
      </c>
      <c r="D70" s="24">
        <v>70</v>
      </c>
      <c r="E70" s="24">
        <v>90</v>
      </c>
      <c r="F70" s="16">
        <v>40</v>
      </c>
      <c r="G70" s="6">
        <f>=(C70*((1+Parametros!$C$9)^MAX(0,($A70-1))))</f>
        <v>184.4810798137305</v>
      </c>
      <c r="H70" s="6">
        <f>=(D70*((1+Parametros!$C$10)^MAX(0,($A70-1))))</f>
        <v>98.49702958593751</v>
      </c>
      <c r="I70" s="6">
        <f>=(H70*12)</f>
        <v>1181.96435503125</v>
      </c>
      <c r="J70" s="6">
        <f>=(F70*((1+Parametros!$C$8)^MAX(0,($A70-1))))</f>
        <v>52.63727116943361</v>
      </c>
      <c r="K70" s="6">
        <f>=(G70*I70)</f>
        <v>218050.06051750455</v>
      </c>
      <c r="L70" s="6">
        <f>=(J70*I70)</f>
        <v>62215.378268384615</v>
      </c>
      <c r="M70" s="6">
        <f>=(K70-L70)</f>
        <v>155834.68224911994</v>
      </c>
      <c r="N70" s="23" t="str">
        <f>=IF(H70&gt;E70,"EXCEDE","")</f>
        <v>EXCEDE</v>
      </c>
    </row>
    <row r="71">
      <c r="A71" s="19">
        <v>8</v>
      </c>
      <c r="B71" s="19" t="str">
        <v>Periodoncia</v>
      </c>
      <c r="C71" s="16">
        <v>120</v>
      </c>
      <c r="D71" s="24">
        <v>60</v>
      </c>
      <c r="E71" s="24">
        <v>80</v>
      </c>
      <c r="F71" s="16">
        <v>30</v>
      </c>
      <c r="G71" s="6">
        <f>=(C71*((1+Parametros!$C$9)^MAX(0,($A71-1))))</f>
        <v>147.5848638509844</v>
      </c>
      <c r="H71" s="6">
        <f>=(D71*((1+Parametros!$C$10)^MAX(0,($A71-1))))</f>
        <v>84.42602535937502</v>
      </c>
      <c r="I71" s="6">
        <f>=(H71*12)</f>
        <v>1013.1123043125002</v>
      </c>
      <c r="J71" s="6">
        <f>=(F71*((1+Parametros!$C$8)^MAX(0,($A71-1))))</f>
        <v>39.47795337707521</v>
      </c>
      <c r="K71" s="6">
        <f>=(G71*I71)</f>
        <v>149520.0414977174</v>
      </c>
      <c r="L71" s="6">
        <f>=(J71*I71)</f>
        <v>39995.60031539012</v>
      </c>
      <c r="M71" s="6">
        <f>=(K71-L71)</f>
        <v>109524.44118232728</v>
      </c>
      <c r="N71" s="23" t="str">
        <f>=IF(H71&gt;E71,"EXCEDE","")</f>
        <v>EXCEDE</v>
      </c>
    </row>
    <row r="72">
      <c r="A72" s="19">
        <v>8</v>
      </c>
      <c r="B72" s="19" t="str">
        <v>Cirugía oral</v>
      </c>
      <c r="C72" s="16">
        <v>180</v>
      </c>
      <c r="D72" s="24">
        <v>35</v>
      </c>
      <c r="E72" s="24">
        <v>45</v>
      </c>
      <c r="F72" s="16">
        <v>45</v>
      </c>
      <c r="G72" s="6">
        <f>=(C72*((1+Parametros!$C$9)^MAX(0,($A72-1))))</f>
        <v>221.3772957764766</v>
      </c>
      <c r="H72" s="6">
        <f>=(D72*((1+Parametros!$C$10)^MAX(0,($A72-1))))</f>
        <v>49.248514792968756</v>
      </c>
      <c r="I72" s="6">
        <f>=(H72*12)</f>
        <v>590.982177515625</v>
      </c>
      <c r="J72" s="6">
        <f>=(F72*((1+Parametros!$C$8)^MAX(0,($A72-1))))</f>
        <v>59.216930065612814</v>
      </c>
      <c r="K72" s="6">
        <f>=(G72*I72)</f>
        <v>130830.03631050272</v>
      </c>
      <c r="L72" s="6">
        <f>=(J72*I72)</f>
        <v>34996.15027596635</v>
      </c>
      <c r="M72" s="6">
        <f>=(K72-L72)</f>
        <v>95833.88603453638</v>
      </c>
      <c r="N72" s="23" t="str">
        <f>=IF(H72&gt;E72,"EXCEDE","")</f>
        <v>EXCEDE</v>
      </c>
    </row>
    <row r="73">
      <c r="A73" s="19">
        <v>8</v>
      </c>
      <c r="B73" s="19" t="str">
        <v>Prótesis estomatológica</v>
      </c>
      <c r="C73" s="16">
        <v>400</v>
      </c>
      <c r="D73" s="24">
        <v>28</v>
      </c>
      <c r="E73" s="24">
        <v>40</v>
      </c>
      <c r="F73" s="16">
        <v>120</v>
      </c>
      <c r="G73" s="6">
        <f>=(C73*((1+Parametros!$C$9)^MAX(0,($A73-1))))</f>
        <v>491.949546169948</v>
      </c>
      <c r="H73" s="6">
        <f>=(D73*((1+Parametros!$C$10)^MAX(0,($A73-1))))</f>
        <v>39.39881183437501</v>
      </c>
      <c r="I73" s="6">
        <f>=(H73*12)</f>
        <v>472.7857420125001</v>
      </c>
      <c r="J73" s="6">
        <f>=(F73*((1+Parametros!$C$8)^MAX(0,($A73-1))))</f>
        <v>157.91181350830084</v>
      </c>
      <c r="K73" s="6">
        <f>=(G73*I73)</f>
        <v>232586.73121867154</v>
      </c>
      <c r="L73" s="6">
        <f>=(J73*I73)</f>
        <v>74658.45392206156</v>
      </c>
      <c r="M73" s="6">
        <f>=(K73-L73)</f>
        <v>157928.27729661</v>
      </c>
      <c r="N73" s="23" t="str">
        <f>=IF(H73&gt;E73,"EXCEDE","")</f>
        <v/>
      </c>
    </row>
    <row r="74">
      <c r="A74" s="19">
        <v>8</v>
      </c>
      <c r="B74" s="19" t="str">
        <v>Ortodoncia</v>
      </c>
      <c r="C74" s="16">
        <v>1200</v>
      </c>
      <c r="D74" s="24">
        <v>9</v>
      </c>
      <c r="E74" s="24">
        <v>15</v>
      </c>
      <c r="F74" s="16">
        <v>300</v>
      </c>
      <c r="G74" s="6">
        <f>=(C74*((1+Parametros!$C$9)^MAX(0,($A74-1))))</f>
        <v>1475.848638509844</v>
      </c>
      <c r="H74" s="6">
        <f>=(D74*((1+Parametros!$C$10)^MAX(0,($A74-1))))</f>
        <v>12.663903803906251</v>
      </c>
      <c r="I74" s="6">
        <f>=(H74*12)</f>
        <v>151.96684564687502</v>
      </c>
      <c r="J74" s="6">
        <f>=(F74*((1+Parametros!$C$8)^MAX(0,($A74-1))))</f>
        <v>394.7795337707521</v>
      </c>
      <c r="K74" s="6">
        <f>=(G74*I74)</f>
        <v>224280.0622465761</v>
      </c>
      <c r="L74" s="6">
        <f>=(J74*I74)</f>
        <v>59993.40047308517</v>
      </c>
      <c r="M74" s="6">
        <f>=(K74-L74)</f>
        <v>164286.66177349092</v>
      </c>
      <c r="N74" s="23" t="str">
        <f>=IF(H74&gt;E74,"EXCEDE","")</f>
        <v/>
      </c>
    </row>
    <row r="75">
      <c r="A75" s="19">
        <v>8</v>
      </c>
      <c r="B75" s="19" t="str">
        <v>Imagenología dental</v>
      </c>
      <c r="C75" s="16">
        <v>45</v>
      </c>
      <c r="D75" s="24">
        <v>130</v>
      </c>
      <c r="E75" s="24">
        <v>160</v>
      </c>
      <c r="F75" s="16">
        <v>8</v>
      </c>
      <c r="G75" s="6">
        <f>=(C75*((1+Parametros!$C$9)^MAX(0,($A75-1))))</f>
        <v>55.34432394411915</v>
      </c>
      <c r="H75" s="6">
        <f>=(D75*((1+Parametros!$C$10)^MAX(0,($A75-1))))</f>
        <v>182.92305494531254</v>
      </c>
      <c r="I75" s="6">
        <f>=(H75*12)</f>
        <v>2195.0766593437506</v>
      </c>
      <c r="J75" s="6">
        <f>=(F75*((1+Parametros!$C$8)^MAX(0,($A75-1))))</f>
        <v>10.527454233886722</v>
      </c>
      <c r="K75" s="6">
        <f>=(G75*I75)</f>
        <v>121485.0337168954</v>
      </c>
      <c r="L75" s="6">
        <f>=(J75*I75)</f>
        <v>23108.56907111429</v>
      </c>
      <c r="M75" s="6">
        <f>=(K75-L75)</f>
        <v>98376.46464578112</v>
      </c>
      <c r="N75" s="23" t="str">
        <f>=IF(H75&gt;E75,"EXCEDE","")</f>
        <v>EXCEDE</v>
      </c>
    </row>
    <row r="76">
      <c r="A76" s="19">
        <v>9</v>
      </c>
      <c r="B76" s="19" t="str">
        <v>Consulta estomatológica</v>
      </c>
      <c r="C76" s="16">
        <v>25</v>
      </c>
      <c r="D76" s="24">
        <v>400</v>
      </c>
      <c r="E76" s="24">
        <v>440</v>
      </c>
      <c r="F76" s="16">
        <v>6</v>
      </c>
      <c r="G76" s="6">
        <f>=(C76*((1+Parametros!$C$9)^MAX(0,($A76-1))))</f>
        <v>31.6692520346904</v>
      </c>
      <c r="H76" s="6">
        <f>=(D76*((1+Parametros!$C$10)^MAX(0,($A76-1))))</f>
        <v>590.982177515625</v>
      </c>
      <c r="I76" s="6">
        <f>=(H76*12)</f>
        <v>7091.7861301875</v>
      </c>
      <c r="J76" s="6">
        <f>=(F76*((1+Parametros!$C$8)^MAX(0,($A76-1))))</f>
        <v>8.211414302431645</v>
      </c>
      <c r="K76" s="6">
        <f>=(G76*I76)</f>
        <v>224591.56233302964</v>
      </c>
      <c r="L76" s="6">
        <f>=(J76*I76)</f>
        <v>58233.59405920801</v>
      </c>
      <c r="M76" s="6">
        <f>=(K76-L76)</f>
        <v>166357.96827382164</v>
      </c>
      <c r="N76" s="23" t="str">
        <f>=IF(H76&gt;E76,"EXCEDE","")</f>
        <v>EXCEDE</v>
      </c>
    </row>
    <row r="77">
      <c r="A77" s="19">
        <v>9</v>
      </c>
      <c r="B77" s="19" t="str">
        <v>Odontología preventiva (profilaxis y sellado)</v>
      </c>
      <c r="C77" s="16">
        <v>35</v>
      </c>
      <c r="D77" s="24">
        <v>160</v>
      </c>
      <c r="E77" s="24">
        <v>200</v>
      </c>
      <c r="F77" s="16">
        <v>10</v>
      </c>
      <c r="G77" s="6">
        <f>=(C77*((1+Parametros!$C$9)^MAX(0,($A77-1))))</f>
        <v>44.336952848566554</v>
      </c>
      <c r="H77" s="6">
        <f>=(D77*((1+Parametros!$C$10)^MAX(0,($A77-1))))</f>
        <v>236.39287100625</v>
      </c>
      <c r="I77" s="6">
        <f>=(H77*12)</f>
        <v>2836.714452075</v>
      </c>
      <c r="J77" s="6">
        <f>=(F77*((1+Parametros!$C$8)^MAX(0,($A77-1))))</f>
        <v>13.68569050405274</v>
      </c>
      <c r="K77" s="6">
        <f>=(G77*I77)</f>
        <v>125771.27490649658</v>
      </c>
      <c r="L77" s="6">
        <f>=(J77*I77)</f>
        <v>38822.396039472</v>
      </c>
      <c r="M77" s="6">
        <f>=(K77-L77)</f>
        <v>86948.87886702458</v>
      </c>
      <c r="N77" s="23" t="str">
        <f>=IF(H77&gt;E77,"EXCEDE","")</f>
        <v>EXCEDE</v>
      </c>
    </row>
    <row r="78">
      <c r="A78" s="19">
        <v>9</v>
      </c>
      <c r="B78" s="19" t="str">
        <v>Restauraciones (obturaciones)</v>
      </c>
      <c r="C78" s="16">
        <v>60</v>
      </c>
      <c r="D78" s="24">
        <v>220</v>
      </c>
      <c r="E78" s="24">
        <v>260</v>
      </c>
      <c r="F78" s="16">
        <v>18</v>
      </c>
      <c r="G78" s="6">
        <f>=(C78*((1+Parametros!$C$9)^MAX(0,($A78-1))))</f>
        <v>76.00620488325696</v>
      </c>
      <c r="H78" s="6">
        <f>=(D78*((1+Parametros!$C$10)^MAX(0,($A78-1))))</f>
        <v>325.0401976335938</v>
      </c>
      <c r="I78" s="6">
        <f>=(H78*12)</f>
        <v>3900.482371603125</v>
      </c>
      <c r="J78" s="6">
        <f>=(F78*((1+Parametros!$C$8)^MAX(0,($A78-1))))</f>
        <v>24.634242907294933</v>
      </c>
      <c r="K78" s="6">
        <f>=(G78*I78)</f>
        <v>296460.8622795991</v>
      </c>
      <c r="L78" s="6">
        <f>=(J78*I78)</f>
        <v>96085.4301976932</v>
      </c>
      <c r="M78" s="6">
        <f>=(K78-L78)</f>
        <v>200375.43208190592</v>
      </c>
      <c r="N78" s="23" t="str">
        <f>=IF(H78&gt;E78,"EXCEDE","")</f>
        <v>EXCEDE</v>
      </c>
    </row>
    <row r="79">
      <c r="A79" s="19">
        <v>9</v>
      </c>
      <c r="B79" s="19" t="str">
        <v>Endodoncia</v>
      </c>
      <c r="C79" s="16">
        <v>150</v>
      </c>
      <c r="D79" s="24">
        <v>70</v>
      </c>
      <c r="E79" s="24">
        <v>90</v>
      </c>
      <c r="F79" s="16">
        <v>40</v>
      </c>
      <c r="G79" s="6">
        <f>=(C79*((1+Parametros!$C$9)^MAX(0,($A79-1))))</f>
        <v>190.01551220814238</v>
      </c>
      <c r="H79" s="6">
        <f>=(D79*((1+Parametros!$C$10)^MAX(0,($A79-1))))</f>
        <v>103.42188106523437</v>
      </c>
      <c r="I79" s="6">
        <f>=(H79*12)</f>
        <v>1241.0625727828124</v>
      </c>
      <c r="J79" s="6">
        <f>=(F79*((1+Parametros!$C$8)^MAX(0,($A79-1))))</f>
        <v>54.74276201621096</v>
      </c>
      <c r="K79" s="6">
        <f>=(G79*I79)</f>
        <v>235821.1404496811</v>
      </c>
      <c r="L79" s="6">
        <f>=(J79*I79)</f>
        <v>67939.19306907599</v>
      </c>
      <c r="M79" s="6">
        <f>=(K79-L79)</f>
        <v>167881.9473806051</v>
      </c>
      <c r="N79" s="23" t="str">
        <f>=IF(H79&gt;E79,"EXCEDE","")</f>
        <v>EXCEDE</v>
      </c>
    </row>
    <row r="80">
      <c r="A80" s="19">
        <v>9</v>
      </c>
      <c r="B80" s="19" t="str">
        <v>Periodoncia</v>
      </c>
      <c r="C80" s="16">
        <v>120</v>
      </c>
      <c r="D80" s="24">
        <v>60</v>
      </c>
      <c r="E80" s="24">
        <v>80</v>
      </c>
      <c r="F80" s="16">
        <v>30</v>
      </c>
      <c r="G80" s="6">
        <f>=(C80*((1+Parametros!$C$9)^MAX(0,($A80-1))))</f>
        <v>152.0124097665139</v>
      </c>
      <c r="H80" s="6">
        <f>=(D80*((1+Parametros!$C$10)^MAX(0,($A80-1))))</f>
        <v>88.64732662734376</v>
      </c>
      <c r="I80" s="6">
        <f>=(H80*12)</f>
        <v>1063.767919528125</v>
      </c>
      <c r="J80" s="6">
        <f>=(F80*((1+Parametros!$C$8)^MAX(0,($A80-1))))</f>
        <v>41.057071512158224</v>
      </c>
      <c r="K80" s="6">
        <f>=(G80*I80)</f>
        <v>161705.92487978135</v>
      </c>
      <c r="L80" s="6">
        <f>=(J80*I80)</f>
        <v>43675.19554440601</v>
      </c>
      <c r="M80" s="6">
        <f>=(K80-L80)</f>
        <v>118030.72933537533</v>
      </c>
      <c r="N80" s="23" t="str">
        <f>=IF(H80&gt;E80,"EXCEDE","")</f>
        <v>EXCEDE</v>
      </c>
    </row>
    <row r="81">
      <c r="A81" s="19">
        <v>9</v>
      </c>
      <c r="B81" s="19" t="str">
        <v>Cirugía oral</v>
      </c>
      <c r="C81" s="16">
        <v>180</v>
      </c>
      <c r="D81" s="24">
        <v>35</v>
      </c>
      <c r="E81" s="24">
        <v>45</v>
      </c>
      <c r="F81" s="16">
        <v>45</v>
      </c>
      <c r="G81" s="6">
        <f>=(C81*((1+Parametros!$C$9)^MAX(0,($A81-1))))</f>
        <v>228.01861464977088</v>
      </c>
      <c r="H81" s="6">
        <f>=(D81*((1+Parametros!$C$10)^MAX(0,($A81-1))))</f>
        <v>51.71094053261719</v>
      </c>
      <c r="I81" s="6">
        <f>=(H81*12)</f>
        <v>620.5312863914062</v>
      </c>
      <c r="J81" s="6">
        <f>=(F81*((1+Parametros!$C$8)^MAX(0,($A81-1))))</f>
        <v>61.58560726823733</v>
      </c>
      <c r="K81" s="6">
        <f>=(G81*I81)</f>
        <v>141492.68426980867</v>
      </c>
      <c r="L81" s="6">
        <f>=(J81*I81)</f>
        <v>38215.79610135525</v>
      </c>
      <c r="M81" s="6">
        <f>=(K81-L81)</f>
        <v>103276.88816845341</v>
      </c>
      <c r="N81" s="23" t="str">
        <f>=IF(H81&gt;E81,"EXCEDE","")</f>
        <v>EXCEDE</v>
      </c>
    </row>
    <row r="82">
      <c r="A82" s="19">
        <v>9</v>
      </c>
      <c r="B82" s="19" t="str">
        <v>Prótesis estomatológica</v>
      </c>
      <c r="C82" s="16">
        <v>400</v>
      </c>
      <c r="D82" s="24">
        <v>28</v>
      </c>
      <c r="E82" s="24">
        <v>40</v>
      </c>
      <c r="F82" s="16">
        <v>120</v>
      </c>
      <c r="G82" s="6">
        <f>=(C82*((1+Parametros!$C$9)^MAX(0,($A82-1))))</f>
        <v>506.7080325550464</v>
      </c>
      <c r="H82" s="6">
        <f>=(D82*((1+Parametros!$C$10)^MAX(0,($A82-1))))</f>
        <v>41.36875242609375</v>
      </c>
      <c r="I82" s="6">
        <f>=(H82*12)</f>
        <v>496.425029113125</v>
      </c>
      <c r="J82" s="6">
        <f>=(F82*((1+Parametros!$C$8)^MAX(0,($A82-1))))</f>
        <v>164.2282860486329</v>
      </c>
      <c r="K82" s="6">
        <f>=(G82*I82)</f>
        <v>251542.54981299318</v>
      </c>
      <c r="L82" s="6">
        <f>=(J82*I82)</f>
        <v>81527.0316828912</v>
      </c>
      <c r="M82" s="6">
        <f>=(K82-L82)</f>
        <v>170015.51813010196</v>
      </c>
      <c r="N82" s="23" t="str">
        <f>=IF(H82&gt;E82,"EXCEDE","")</f>
        <v>EXCEDE</v>
      </c>
    </row>
    <row r="83">
      <c r="A83" s="19">
        <v>9</v>
      </c>
      <c r="B83" s="19" t="str">
        <v>Ortodoncia</v>
      </c>
      <c r="C83" s="16">
        <v>1200</v>
      </c>
      <c r="D83" s="24">
        <v>9</v>
      </c>
      <c r="E83" s="24">
        <v>15</v>
      </c>
      <c r="F83" s="16">
        <v>300</v>
      </c>
      <c r="G83" s="6">
        <f>=(C83*((1+Parametros!$C$9)^MAX(0,($A83-1))))</f>
        <v>1520.124097665139</v>
      </c>
      <c r="H83" s="6">
        <f>=(D83*((1+Parametros!$C$10)^MAX(0,($A83-1))))</f>
        <v>13.297098994101564</v>
      </c>
      <c r="I83" s="6">
        <f>=(H83*12)</f>
        <v>159.56518792921878</v>
      </c>
      <c r="J83" s="6">
        <f>=(F83*((1+Parametros!$C$8)^MAX(0,($A83-1))))</f>
        <v>410.5707151215822</v>
      </c>
      <c r="K83" s="6">
        <f>=(G83*I83)</f>
        <v>242558.88731967204</v>
      </c>
      <c r="L83" s="6">
        <f>=(J83*I83)</f>
        <v>65512.793316609015</v>
      </c>
      <c r="M83" s="6">
        <f>=(K83-L83)</f>
        <v>177046.09400306302</v>
      </c>
      <c r="N83" s="23" t="str">
        <f>=IF(H83&gt;E83,"EXCEDE","")</f>
        <v/>
      </c>
    </row>
    <row r="84">
      <c r="A84" s="19">
        <v>9</v>
      </c>
      <c r="B84" s="19" t="str">
        <v>Imagenología dental</v>
      </c>
      <c r="C84" s="16">
        <v>45</v>
      </c>
      <c r="D84" s="24">
        <v>130</v>
      </c>
      <c r="E84" s="24">
        <v>160</v>
      </c>
      <c r="F84" s="16">
        <v>8</v>
      </c>
      <c r="G84" s="6">
        <f>=(C84*((1+Parametros!$C$9)^MAX(0,($A84-1))))</f>
        <v>57.00465366244272</v>
      </c>
      <c r="H84" s="6">
        <f>=(D84*((1+Parametros!$C$10)^MAX(0,($A84-1))))</f>
        <v>192.06920769257815</v>
      </c>
      <c r="I84" s="6">
        <f>=(H84*12)</f>
        <v>2304.8304923109376</v>
      </c>
      <c r="J84" s="6">
        <f>=(F84*((1+Parametros!$C$8)^MAX(0,($A84-1))))</f>
        <v>10.948552403242193</v>
      </c>
      <c r="K84" s="6">
        <f>=(G84*I84)</f>
        <v>131386.06396482236</v>
      </c>
      <c r="L84" s="6">
        <f>=(J84*I84)</f>
        <v>25234.557425656803</v>
      </c>
      <c r="M84" s="6">
        <f>=(K84-L84)</f>
        <v>106151.50653916555</v>
      </c>
      <c r="N84" s="23" t="str">
        <f>=IF(H84&gt;E84,"EXCEDE","")</f>
        <v>EXCEDE</v>
      </c>
    </row>
    <row r="85">
      <c r="A85" s="19">
        <v>10</v>
      </c>
      <c r="B85" s="19" t="str">
        <v>Consulta estomatológica</v>
      </c>
      <c r="C85" s="16">
        <v>25</v>
      </c>
      <c r="D85" s="24">
        <v>400</v>
      </c>
      <c r="E85" s="24">
        <v>440</v>
      </c>
      <c r="F85" s="16">
        <v>6</v>
      </c>
      <c r="G85" s="6">
        <f>=(C85*((1+Parametros!$C$9)^MAX(0,($A85-1))))</f>
        <v>32.61932959573111</v>
      </c>
      <c r="H85" s="6">
        <f>=(D85*((1+Parametros!$C$10)^MAX(0,($A85-1))))</f>
        <v>620.5312863914063</v>
      </c>
      <c r="I85" s="6">
        <f>=(H85*12)</f>
        <v>7446.375436696875</v>
      </c>
      <c r="J85" s="6">
        <f>=(F85*((1+Parametros!$C$8)^MAX(0,($A85-1))))</f>
        <v>8.539870874528912</v>
      </c>
      <c r="K85" s="6">
        <f>=(G85*I85)</f>
        <v>242895.77466317156</v>
      </c>
      <c r="L85" s="6">
        <f>=(J85*I85)</f>
        <v>63591.08471265515</v>
      </c>
      <c r="M85" s="6">
        <f>=(K85-L85)</f>
        <v>179304.6899505164</v>
      </c>
      <c r="N85" s="23" t="str">
        <f>=IF(H85&gt;E85,"EXCEDE","")</f>
        <v>EXCEDE</v>
      </c>
    </row>
    <row r="86">
      <c r="A86" s="19">
        <v>10</v>
      </c>
      <c r="B86" s="19" t="str">
        <v>Odontología preventiva (profilaxis y sellado)</v>
      </c>
      <c r="C86" s="16">
        <v>35</v>
      </c>
      <c r="D86" s="24">
        <v>160</v>
      </c>
      <c r="E86" s="24">
        <v>200</v>
      </c>
      <c r="F86" s="16">
        <v>10</v>
      </c>
      <c r="G86" s="6">
        <f>=(C86*((1+Parametros!$C$9)^MAX(0,($A86-1))))</f>
        <v>45.66706143402356</v>
      </c>
      <c r="H86" s="6">
        <f>=(D86*((1+Parametros!$C$10)^MAX(0,($A86-1))))</f>
        <v>248.21251455656252</v>
      </c>
      <c r="I86" s="6">
        <f>=(H86*12)</f>
        <v>2978.5501746787504</v>
      </c>
      <c r="J86" s="6">
        <f>=(F86*((1+Parametros!$C$8)^MAX(0,($A86-1))))</f>
        <v>14.233118124214851</v>
      </c>
      <c r="K86" s="6">
        <f>=(G86*I86)</f>
        <v>136021.6338113761</v>
      </c>
      <c r="L86" s="6">
        <f>=(J86*I86)</f>
        <v>42394.05647510343</v>
      </c>
      <c r="M86" s="6">
        <f>=(K86-L86)</f>
        <v>93627.57733627266</v>
      </c>
      <c r="N86" s="23" t="str">
        <f>=IF(H86&gt;E86,"EXCEDE","")</f>
        <v>EXCEDE</v>
      </c>
    </row>
    <row r="87">
      <c r="A87" s="19">
        <v>10</v>
      </c>
      <c r="B87" s="19" t="str">
        <v>Restauraciones (obturaciones)</v>
      </c>
      <c r="C87" s="16">
        <v>60</v>
      </c>
      <c r="D87" s="24">
        <v>220</v>
      </c>
      <c r="E87" s="24">
        <v>260</v>
      </c>
      <c r="F87" s="16">
        <v>18</v>
      </c>
      <c r="G87" s="6">
        <f>=(C87*((1+Parametros!$C$9)^MAX(0,($A87-1))))</f>
        <v>78.28639102975467</v>
      </c>
      <c r="H87" s="6">
        <f>=(D87*((1+Parametros!$C$10)^MAX(0,($A87-1))))</f>
        <v>341.29220751527345</v>
      </c>
      <c r="I87" s="6">
        <f>=(H87*12)</f>
        <v>4095.506490183281</v>
      </c>
      <c r="J87" s="6">
        <f>=(F87*((1+Parametros!$C$8)^MAX(0,($A87-1))))</f>
        <v>25.619612623586733</v>
      </c>
      <c r="K87" s="6">
        <f>=(G87*I87)</f>
        <v>320622.42255538644</v>
      </c>
      <c r="L87" s="6">
        <f>=(J87*I87)</f>
        <v>104925.28977588098</v>
      </c>
      <c r="M87" s="6">
        <f>=(K87-L87)</f>
        <v>215697.13277950545</v>
      </c>
      <c r="N87" s="23" t="str">
        <f>=IF(H87&gt;E87,"EXCEDE","")</f>
        <v>EXCEDE</v>
      </c>
    </row>
    <row r="88">
      <c r="A88" s="19">
        <v>10</v>
      </c>
      <c r="B88" s="19" t="str">
        <v>Endodoncia</v>
      </c>
      <c r="C88" s="16">
        <v>150</v>
      </c>
      <c r="D88" s="24">
        <v>70</v>
      </c>
      <c r="E88" s="24">
        <v>90</v>
      </c>
      <c r="F88" s="16">
        <v>40</v>
      </c>
      <c r="G88" s="6">
        <f>=(C88*((1+Parametros!$C$9)^MAX(0,($A88-1))))</f>
        <v>195.71597757438667</v>
      </c>
      <c r="H88" s="6">
        <f>=(D88*((1+Parametros!$C$10)^MAX(0,($A88-1))))</f>
        <v>108.5929751184961</v>
      </c>
      <c r="I88" s="6">
        <f>=(H88*12)</f>
        <v>1303.1157014219532</v>
      </c>
      <c r="J88" s="6">
        <f>=(F88*((1+Parametros!$C$8)^MAX(0,($A88-1))))</f>
        <v>56.932472496859404</v>
      </c>
      <c r="K88" s="6">
        <f>=(G88*I88)</f>
        <v>255040.56339633014</v>
      </c>
      <c r="L88" s="6">
        <f>=(J88*I88)</f>
        <v>74189.598831431</v>
      </c>
      <c r="M88" s="6">
        <f>=(K88-L88)</f>
        <v>180850.96456489916</v>
      </c>
      <c r="N88" s="23" t="str">
        <f>=IF(H88&gt;E88,"EXCEDE","")</f>
        <v>EXCEDE</v>
      </c>
    </row>
    <row r="89">
      <c r="A89" s="19">
        <v>10</v>
      </c>
      <c r="B89" s="19" t="str">
        <v>Periodoncia</v>
      </c>
      <c r="C89" s="16">
        <v>120</v>
      </c>
      <c r="D89" s="24">
        <v>60</v>
      </c>
      <c r="E89" s="24">
        <v>80</v>
      </c>
      <c r="F89" s="16">
        <v>30</v>
      </c>
      <c r="G89" s="6">
        <f>=(C89*((1+Parametros!$C$9)^MAX(0,($A89-1))))</f>
        <v>156.57278205950934</v>
      </c>
      <c r="H89" s="6">
        <f>=(D89*((1+Parametros!$C$10)^MAX(0,($A89-1))))</f>
        <v>93.07969295871095</v>
      </c>
      <c r="I89" s="6">
        <f>=(H89*12)</f>
        <v>1116.9563155045314</v>
      </c>
      <c r="J89" s="6">
        <f>=(F89*((1+Parametros!$C$8)^MAX(0,($A89-1))))</f>
        <v>42.69935437264456</v>
      </c>
      <c r="K89" s="6">
        <f>=(G89*I89)</f>
        <v>174884.95775748356</v>
      </c>
      <c r="L89" s="6">
        <f>=(J89*I89)</f>
        <v>47693.31353449137</v>
      </c>
      <c r="M89" s="6">
        <f>=(K89-L89)</f>
        <v>127191.64422299218</v>
      </c>
      <c r="N89" s="23" t="str">
        <f>=IF(H89&gt;E89,"EXCEDE","")</f>
        <v>EXCEDE</v>
      </c>
    </row>
    <row r="90">
      <c r="A90" s="19">
        <v>10</v>
      </c>
      <c r="B90" s="19" t="str">
        <v>Cirugía oral</v>
      </c>
      <c r="C90" s="16">
        <v>180</v>
      </c>
      <c r="D90" s="24">
        <v>35</v>
      </c>
      <c r="E90" s="24">
        <v>45</v>
      </c>
      <c r="F90" s="16">
        <v>45</v>
      </c>
      <c r="G90" s="6">
        <f>=(C90*((1+Parametros!$C$9)^MAX(0,($A90-1))))</f>
        <v>234.859173089264</v>
      </c>
      <c r="H90" s="6">
        <f>=(D90*((1+Parametros!$C$10)^MAX(0,($A90-1))))</f>
        <v>54.29648755924805</v>
      </c>
      <c r="I90" s="6">
        <f>=(H90*12)</f>
        <v>651.5578507109766</v>
      </c>
      <c r="J90" s="6">
        <f>=(F90*((1+Parametros!$C$8)^MAX(0,($A90-1))))</f>
        <v>64.04903155896683</v>
      </c>
      <c r="K90" s="6">
        <f>=(G90*I90)</f>
        <v>153024.3380377981</v>
      </c>
      <c r="L90" s="6">
        <f>=(J90*I90)</f>
        <v>41731.64934267994</v>
      </c>
      <c r="M90" s="6">
        <f>=(K90-L90)</f>
        <v>111292.68869511815</v>
      </c>
      <c r="N90" s="23" t="str">
        <f>=IF(H90&gt;E90,"EXCEDE","")</f>
        <v>EXCEDE</v>
      </c>
    </row>
    <row r="91">
      <c r="A91" s="19">
        <v>10</v>
      </c>
      <c r="B91" s="19" t="str">
        <v>Prótesis estomatológica</v>
      </c>
      <c r="C91" s="16">
        <v>400</v>
      </c>
      <c r="D91" s="24">
        <v>28</v>
      </c>
      <c r="E91" s="24">
        <v>40</v>
      </c>
      <c r="F91" s="16">
        <v>120</v>
      </c>
      <c r="G91" s="6">
        <f>=(C91*((1+Parametros!$C$9)^MAX(0,($A91-1))))</f>
        <v>521.9092735316977</v>
      </c>
      <c r="H91" s="6">
        <f>=(D91*((1+Parametros!$C$10)^MAX(0,($A91-1))))</f>
        <v>43.437190047398445</v>
      </c>
      <c r="I91" s="6">
        <f>=(H91*12)</f>
        <v>521.2462805687813</v>
      </c>
      <c r="J91" s="6">
        <f>=(F91*((1+Parametros!$C$8)^MAX(0,($A91-1))))</f>
        <v>170.79741749057823</v>
      </c>
      <c r="K91" s="6">
        <f>=(G91*I91)</f>
        <v>272043.2676227522</v>
      </c>
      <c r="L91" s="6">
        <f>=(J91*I91)</f>
        <v>89027.51859771722</v>
      </c>
      <c r="M91" s="6">
        <f>=(K91-L91)</f>
        <v>183015.74902503495</v>
      </c>
      <c r="N91" s="23" t="str">
        <f>=IF(H91&gt;E91,"EXCEDE","")</f>
        <v>EXCEDE</v>
      </c>
    </row>
    <row r="92">
      <c r="A92" s="19">
        <v>10</v>
      </c>
      <c r="B92" s="19" t="str">
        <v>Ortodoncia</v>
      </c>
      <c r="C92" s="16">
        <v>1200</v>
      </c>
      <c r="D92" s="24">
        <v>9</v>
      </c>
      <c r="E92" s="24">
        <v>15</v>
      </c>
      <c r="F92" s="16">
        <v>300</v>
      </c>
      <c r="G92" s="6">
        <f>=(C92*((1+Parametros!$C$9)^MAX(0,($A92-1))))</f>
        <v>1565.7278205950934</v>
      </c>
      <c r="H92" s="6">
        <f>=(D92*((1+Parametros!$C$10)^MAX(0,($A92-1))))</f>
        <v>13.961953943806641</v>
      </c>
      <c r="I92" s="6">
        <f>=(H92*12)</f>
        <v>167.5434473256797</v>
      </c>
      <c r="J92" s="6">
        <f>=(F92*((1+Parametros!$C$8)^MAX(0,($A92-1))))</f>
        <v>426.9935437264456</v>
      </c>
      <c r="K92" s="6">
        <f>=(G92*I92)</f>
        <v>262327.43663622526</v>
      </c>
      <c r="L92" s="6">
        <f>=(J92*I92)</f>
        <v>71539.97030173705</v>
      </c>
      <c r="M92" s="6">
        <f>=(K92-L92)</f>
        <v>190787.4663344882</v>
      </c>
      <c r="N92" s="23" t="str">
        <f>=IF(H92&gt;E92,"EXCEDE","")</f>
        <v/>
      </c>
    </row>
    <row r="93">
      <c r="A93" s="19">
        <v>10</v>
      </c>
      <c r="B93" s="19" t="str">
        <v>Imagenología dental</v>
      </c>
      <c r="C93" s="16">
        <v>45</v>
      </c>
      <c r="D93" s="24">
        <v>130</v>
      </c>
      <c r="E93" s="24">
        <v>160</v>
      </c>
      <c r="F93" s="16">
        <v>8</v>
      </c>
      <c r="G93" s="6">
        <f>=(C93*((1+Parametros!$C$9)^MAX(0,($A93-1))))</f>
        <v>58.714793272316</v>
      </c>
      <c r="H93" s="6">
        <f>=(D93*((1+Parametros!$C$10)^MAX(0,($A93-1))))</f>
        <v>201.67266807720705</v>
      </c>
      <c r="I93" s="6">
        <f>=(H93*12)</f>
        <v>2420.0720169264846</v>
      </c>
      <c r="J93" s="6">
        <f>=(F93*((1+Parametros!$C$8)^MAX(0,($A93-1))))</f>
        <v>11.386494499371882</v>
      </c>
      <c r="K93" s="6">
        <f>=(G93*I93)</f>
        <v>142094.02817795536</v>
      </c>
      <c r="L93" s="6">
        <f>=(J93*I93)</f>
        <v>27556.13670881723</v>
      </c>
      <c r="M93" s="6">
        <f>=(K93-L93)</f>
        <v>114537.89146913814</v>
      </c>
      <c r="N93" s="23" t="str">
        <f>=IF(H93&gt;E93,"EXCEDE","")</f>
        <v>EXCEDE</v>
      </c>
    </row>
    <row r="95">
      <c r="A95" s="7" t="str">
        <v>Celdas ámbar = datos editables. Celdas verdes = fórmulas. «EXCEDE» indica cantidad proyectada por encima de la capacidad instalada.</v>
      </c>
    </row>
  </sheetData>
  <autoFilter ref="A3:N93"/>
  <ignoredErrors>
    <ignoredError numberStoredAsText="1" sqref="A1:N95"/>
  </ignoredErrors>
</worksheet>
</file>

<file path=xl/worksheets/sheet8.xml><?xml version="1.0" encoding="utf-8"?>
<worksheet xmlns="http://schemas.openxmlformats.org/spreadsheetml/2006/main" xmlns:r="http://schemas.openxmlformats.org/officeDocument/2006/relationships">
  <dimension ref="A1:G57"/>
  <sheetViews>
    <sheetView workbookViewId="0"/>
  </sheetViews>
  <cols>
    <col min="1" max="1" width="6.83203125" customWidth="1"/>
    <col min="2" max="2" width="12.83203125" customWidth="1"/>
    <col min="3" max="3" width="22.83203125" customWidth="1"/>
    <col min="4" max="4" width="10.83203125" customWidth="1"/>
    <col min="5" max="5" width="22.83203125" customWidth="1"/>
    <col min="6" max="6" width="18.83203125" customWidth="1"/>
    <col min="7" max="7" width="16.83203125" customWidth="1"/>
  </cols>
  <sheetData>
    <row r="1">
      <c r="A1" s="3" t="str">
        <v>Fuerza de trabajo (4.9) — proyección por categoría y año</v>
      </c>
    </row>
    <row r="3">
      <c r="A3" s="11" t="str">
        <v>Año</v>
      </c>
      <c r="B3" s="11" t="str">
        <v>Etapa</v>
      </c>
      <c r="C3" s="11" t="str">
        <v>Grupo</v>
      </c>
      <c r="D3" s="11" t="str">
        <v>Cantidad</v>
      </c>
      <c r="E3" s="11" t="str">
        <v>Salario base anual (CUP)</v>
      </c>
      <c r="F3" s="11" t="str">
        <v>Salario proy. (CUP)</v>
      </c>
      <c r="G3" s="11" t="str">
        <v>Costo (CUP)</v>
      </c>
    </row>
    <row r="4">
      <c r="A4" s="19">
        <v>0</v>
      </c>
      <c r="B4" s="19" t="str">
        <v>montaje</v>
      </c>
      <c r="C4" s="19" t="str">
        <v>cubano_otro</v>
      </c>
      <c r="D4" s="19">
        <v>6</v>
      </c>
      <c r="E4" s="24">
        <v>96000</v>
      </c>
      <c r="F4" s="14">
        <f>=(E4*((1+Parametros!$C$11)^MAX(0,($A4-1))))</f>
        <v>96000</v>
      </c>
      <c r="G4" s="14">
        <f>=D4*F4</f>
        <v>576000</v>
      </c>
    </row>
    <row r="5">
      <c r="A5" s="19">
        <v>1</v>
      </c>
      <c r="B5" s="19" t="str">
        <v>operacion</v>
      </c>
      <c r="C5" s="19" t="str">
        <v>cubano_directivo</v>
      </c>
      <c r="D5" s="19">
        <v>3</v>
      </c>
      <c r="E5" s="24">
        <v>312000</v>
      </c>
      <c r="F5" s="14">
        <f>=(E5*((1+Parametros!$C$11)^MAX(0,($A5-1))))</f>
        <v>312000</v>
      </c>
      <c r="G5" s="14">
        <f>=D5*F5</f>
        <v>936000</v>
      </c>
    </row>
    <row r="6">
      <c r="A6" s="19">
        <v>1</v>
      </c>
      <c r="B6" s="19" t="str">
        <v>operacion</v>
      </c>
      <c r="C6" s="19" t="str">
        <v>cubano_otro</v>
      </c>
      <c r="D6" s="19">
        <v>12</v>
      </c>
      <c r="E6" s="24">
        <v>264000</v>
      </c>
      <c r="F6" s="14">
        <f>=(E6*((1+Parametros!$C$11)^MAX(0,($A6-1))))</f>
        <v>264000</v>
      </c>
      <c r="G6" s="14">
        <f>=D6*F6</f>
        <v>3168000</v>
      </c>
    </row>
    <row r="7">
      <c r="A7" s="19">
        <v>1</v>
      </c>
      <c r="B7" s="19" t="str">
        <v>operacion</v>
      </c>
      <c r="C7" s="19" t="str">
        <v>cubano_otro</v>
      </c>
      <c r="D7" s="19">
        <v>6</v>
      </c>
      <c r="E7" s="24">
        <v>168000</v>
      </c>
      <c r="F7" s="14">
        <f>=(E7*((1+Parametros!$C$11)^MAX(0,($A7-1))))</f>
        <v>168000</v>
      </c>
      <c r="G7" s="14">
        <f>=D7*F7</f>
        <v>1008000</v>
      </c>
    </row>
    <row r="8">
      <c r="A8" s="19">
        <v>1</v>
      </c>
      <c r="B8" s="19" t="str">
        <v>operacion</v>
      </c>
      <c r="C8" s="19" t="str">
        <v>cubano_otro</v>
      </c>
      <c r="D8" s="19">
        <v>5</v>
      </c>
      <c r="E8" s="24">
        <v>120000</v>
      </c>
      <c r="F8" s="14">
        <f>=(E8*((1+Parametros!$C$11)^MAX(0,($A8-1))))</f>
        <v>120000</v>
      </c>
      <c r="G8" s="14">
        <f>=D8*F8</f>
        <v>600000</v>
      </c>
    </row>
    <row r="9">
      <c r="A9" s="19">
        <v>1</v>
      </c>
      <c r="B9" s="19" t="str">
        <v>operacion</v>
      </c>
      <c r="C9" s="19" t="str">
        <v>extranjero_directivo</v>
      </c>
      <c r="D9" s="19">
        <v>1</v>
      </c>
      <c r="E9" s="24">
        <v>9600000</v>
      </c>
      <c r="F9" s="14">
        <f>=(E9*((1+Parametros!$C$11)^MAX(0,($A9-1))))</f>
        <v>9600000</v>
      </c>
      <c r="G9" s="14">
        <f>=D9*F9</f>
        <v>9600000</v>
      </c>
    </row>
    <row r="10">
      <c r="A10" s="19">
        <v>2</v>
      </c>
      <c r="B10" s="19" t="str">
        <v>operacion</v>
      </c>
      <c r="C10" s="19" t="str">
        <v>cubano_directivo</v>
      </c>
      <c r="D10" s="19">
        <v>3</v>
      </c>
      <c r="E10" s="24">
        <v>312000</v>
      </c>
      <c r="F10" s="14">
        <f>=(E10*((1+Parametros!$C$11)^MAX(0,($A10-1))))</f>
        <v>327600</v>
      </c>
      <c r="G10" s="14">
        <f>=D10*F10</f>
        <v>982800</v>
      </c>
    </row>
    <row r="11">
      <c r="A11" s="19">
        <v>2</v>
      </c>
      <c r="B11" s="19" t="str">
        <v>operacion</v>
      </c>
      <c r="C11" s="19" t="str">
        <v>cubano_otro</v>
      </c>
      <c r="D11" s="19">
        <v>12</v>
      </c>
      <c r="E11" s="24">
        <v>264000</v>
      </c>
      <c r="F11" s="14">
        <f>=(E11*((1+Parametros!$C$11)^MAX(0,($A11-1))))</f>
        <v>277200</v>
      </c>
      <c r="G11" s="14">
        <f>=D11*F11</f>
        <v>3326400</v>
      </c>
    </row>
    <row r="12">
      <c r="A12" s="19">
        <v>2</v>
      </c>
      <c r="B12" s="19" t="str">
        <v>operacion</v>
      </c>
      <c r="C12" s="19" t="str">
        <v>cubano_otro</v>
      </c>
      <c r="D12" s="19">
        <v>6</v>
      </c>
      <c r="E12" s="24">
        <v>168000</v>
      </c>
      <c r="F12" s="14">
        <f>=(E12*((1+Parametros!$C$11)^MAX(0,($A12-1))))</f>
        <v>176400</v>
      </c>
      <c r="G12" s="14">
        <f>=D12*F12</f>
        <v>1058400</v>
      </c>
    </row>
    <row r="13">
      <c r="A13" s="19">
        <v>2</v>
      </c>
      <c r="B13" s="19" t="str">
        <v>operacion</v>
      </c>
      <c r="C13" s="19" t="str">
        <v>cubano_otro</v>
      </c>
      <c r="D13" s="19">
        <v>5</v>
      </c>
      <c r="E13" s="24">
        <v>120000</v>
      </c>
      <c r="F13" s="14">
        <f>=(E13*((1+Parametros!$C$11)^MAX(0,($A13-1))))</f>
        <v>126000</v>
      </c>
      <c r="G13" s="14">
        <f>=D13*F13</f>
        <v>630000</v>
      </c>
    </row>
    <row r="14">
      <c r="A14" s="19">
        <v>2</v>
      </c>
      <c r="B14" s="19" t="str">
        <v>operacion</v>
      </c>
      <c r="C14" s="19" t="str">
        <v>extranjero_directivo</v>
      </c>
      <c r="D14" s="19">
        <v>1</v>
      </c>
      <c r="E14" s="24">
        <v>9600000</v>
      </c>
      <c r="F14" s="14">
        <f>=(E14*((1+Parametros!$C$11)^MAX(0,($A14-1))))</f>
        <v>10080000</v>
      </c>
      <c r="G14" s="14">
        <f>=D14*F14</f>
        <v>10080000</v>
      </c>
    </row>
    <row r="15">
      <c r="A15" s="19">
        <v>3</v>
      </c>
      <c r="B15" s="19" t="str">
        <v>operacion</v>
      </c>
      <c r="C15" s="19" t="str">
        <v>cubano_directivo</v>
      </c>
      <c r="D15" s="19">
        <v>3</v>
      </c>
      <c r="E15" s="24">
        <v>312000</v>
      </c>
      <c r="F15" s="14">
        <f>=(E15*((1+Parametros!$C$11)^MAX(0,($A15-1))))</f>
        <v>343980</v>
      </c>
      <c r="G15" s="14">
        <f>=D15*F15</f>
        <v>1031940</v>
      </c>
    </row>
    <row r="16">
      <c r="A16" s="19">
        <v>3</v>
      </c>
      <c r="B16" s="19" t="str">
        <v>operacion</v>
      </c>
      <c r="C16" s="19" t="str">
        <v>cubano_otro</v>
      </c>
      <c r="D16" s="19">
        <v>12</v>
      </c>
      <c r="E16" s="24">
        <v>264000</v>
      </c>
      <c r="F16" s="14">
        <f>=(E16*((1+Parametros!$C$11)^MAX(0,($A16-1))))</f>
        <v>291060</v>
      </c>
      <c r="G16" s="14">
        <f>=D16*F16</f>
        <v>3492720</v>
      </c>
    </row>
    <row r="17">
      <c r="A17" s="19">
        <v>3</v>
      </c>
      <c r="B17" s="19" t="str">
        <v>operacion</v>
      </c>
      <c r="C17" s="19" t="str">
        <v>cubano_otro</v>
      </c>
      <c r="D17" s="19">
        <v>6</v>
      </c>
      <c r="E17" s="24">
        <v>168000</v>
      </c>
      <c r="F17" s="14">
        <f>=(E17*((1+Parametros!$C$11)^MAX(0,($A17-1))))</f>
        <v>185220</v>
      </c>
      <c r="G17" s="14">
        <f>=D17*F17</f>
        <v>1111320</v>
      </c>
    </row>
    <row r="18">
      <c r="A18" s="19">
        <v>3</v>
      </c>
      <c r="B18" s="19" t="str">
        <v>operacion</v>
      </c>
      <c r="C18" s="19" t="str">
        <v>cubano_otro</v>
      </c>
      <c r="D18" s="19">
        <v>5</v>
      </c>
      <c r="E18" s="24">
        <v>120000</v>
      </c>
      <c r="F18" s="14">
        <f>=(E18*((1+Parametros!$C$11)^MAX(0,($A18-1))))</f>
        <v>132300</v>
      </c>
      <c r="G18" s="14">
        <f>=D18*F18</f>
        <v>661500</v>
      </c>
    </row>
    <row r="19">
      <c r="A19" s="19">
        <v>3</v>
      </c>
      <c r="B19" s="19" t="str">
        <v>operacion</v>
      </c>
      <c r="C19" s="19" t="str">
        <v>extranjero_directivo</v>
      </c>
      <c r="D19" s="19">
        <v>1</v>
      </c>
      <c r="E19" s="24">
        <v>9600000</v>
      </c>
      <c r="F19" s="14">
        <f>=(E19*((1+Parametros!$C$11)^MAX(0,($A19-1))))</f>
        <v>10584000</v>
      </c>
      <c r="G19" s="14">
        <f>=D19*F19</f>
        <v>10584000</v>
      </c>
    </row>
    <row r="20">
      <c r="A20" s="19">
        <v>4</v>
      </c>
      <c r="B20" s="19" t="str">
        <v>operacion</v>
      </c>
      <c r="C20" s="19" t="str">
        <v>cubano_directivo</v>
      </c>
      <c r="D20" s="19">
        <v>3</v>
      </c>
      <c r="E20" s="24">
        <v>312000</v>
      </c>
      <c r="F20" s="14">
        <f>=(E20*((1+Parametros!$C$11)^MAX(0,($A20-1))))</f>
        <v>361179.00000000006</v>
      </c>
      <c r="G20" s="14">
        <f>=D20*F20</f>
        <v>1083537.0000000002</v>
      </c>
    </row>
    <row r="21">
      <c r="A21" s="19">
        <v>4</v>
      </c>
      <c r="B21" s="19" t="str">
        <v>operacion</v>
      </c>
      <c r="C21" s="19" t="str">
        <v>cubano_otro</v>
      </c>
      <c r="D21" s="19">
        <v>12</v>
      </c>
      <c r="E21" s="24">
        <v>264000</v>
      </c>
      <c r="F21" s="14">
        <f>=(E21*((1+Parametros!$C$11)^MAX(0,($A21-1))))</f>
        <v>305613.00000000006</v>
      </c>
      <c r="G21" s="14">
        <f>=D21*F21</f>
        <v>3667356.0000000005</v>
      </c>
    </row>
    <row r="22">
      <c r="A22" s="19">
        <v>4</v>
      </c>
      <c r="B22" s="19" t="str">
        <v>operacion</v>
      </c>
      <c r="C22" s="19" t="str">
        <v>cubano_otro</v>
      </c>
      <c r="D22" s="19">
        <v>6</v>
      </c>
      <c r="E22" s="24">
        <v>168000</v>
      </c>
      <c r="F22" s="14">
        <f>=(E22*((1+Parametros!$C$11)^MAX(0,($A22-1))))</f>
        <v>194481.00000000003</v>
      </c>
      <c r="G22" s="14">
        <f>=D22*F22</f>
        <v>1166886.0000000002</v>
      </c>
    </row>
    <row r="23">
      <c r="A23" s="19">
        <v>4</v>
      </c>
      <c r="B23" s="19" t="str">
        <v>operacion</v>
      </c>
      <c r="C23" s="19" t="str">
        <v>cubano_otro</v>
      </c>
      <c r="D23" s="19">
        <v>5</v>
      </c>
      <c r="E23" s="24">
        <v>120000</v>
      </c>
      <c r="F23" s="14">
        <f>=(E23*((1+Parametros!$C$11)^MAX(0,($A23-1))))</f>
        <v>138915.00000000003</v>
      </c>
      <c r="G23" s="14">
        <f>=D23*F23</f>
        <v>694575.0000000001</v>
      </c>
    </row>
    <row r="24">
      <c r="A24" s="19">
        <v>4</v>
      </c>
      <c r="B24" s="19" t="str">
        <v>operacion</v>
      </c>
      <c r="C24" s="19" t="str">
        <v>extranjero_directivo</v>
      </c>
      <c r="D24" s="19">
        <v>1</v>
      </c>
      <c r="E24" s="24">
        <v>9600000</v>
      </c>
      <c r="F24" s="14">
        <f>=(E24*((1+Parametros!$C$11)^MAX(0,($A24-1))))</f>
        <v>11113200.000000002</v>
      </c>
      <c r="G24" s="14">
        <f>=D24*F24</f>
        <v>11113200.000000002</v>
      </c>
    </row>
    <row r="25">
      <c r="A25" s="19">
        <v>5</v>
      </c>
      <c r="B25" s="19" t="str">
        <v>operacion</v>
      </c>
      <c r="C25" s="19" t="str">
        <v>cubano_directivo</v>
      </c>
      <c r="D25" s="19">
        <v>3</v>
      </c>
      <c r="E25" s="24">
        <v>312000</v>
      </c>
      <c r="F25" s="14">
        <f>=(E25*((1+Parametros!$C$11)^MAX(0,($A25-1))))</f>
        <v>379237.95</v>
      </c>
      <c r="G25" s="14">
        <f>=D25*F25</f>
        <v>1137713.85</v>
      </c>
    </row>
    <row r="26">
      <c r="A26" s="19">
        <v>5</v>
      </c>
      <c r="B26" s="19" t="str">
        <v>operacion</v>
      </c>
      <c r="C26" s="19" t="str">
        <v>cubano_otro</v>
      </c>
      <c r="D26" s="19">
        <v>12</v>
      </c>
      <c r="E26" s="24">
        <v>264000</v>
      </c>
      <c r="F26" s="14">
        <f>=(E26*((1+Parametros!$C$11)^MAX(0,($A26-1))))</f>
        <v>320893.65</v>
      </c>
      <c r="G26" s="14">
        <f>=D26*F26</f>
        <v>3850723.8</v>
      </c>
    </row>
    <row r="27">
      <c r="A27" s="19">
        <v>5</v>
      </c>
      <c r="B27" s="19" t="str">
        <v>operacion</v>
      </c>
      <c r="C27" s="19" t="str">
        <v>cubano_otro</v>
      </c>
      <c r="D27" s="19">
        <v>6</v>
      </c>
      <c r="E27" s="24">
        <v>168000</v>
      </c>
      <c r="F27" s="14">
        <f>=(E27*((1+Parametros!$C$11)^MAX(0,($A27-1))))</f>
        <v>204205.05</v>
      </c>
      <c r="G27" s="14">
        <f>=D27*F27</f>
        <v>1225230.3</v>
      </c>
    </row>
    <row r="28">
      <c r="A28" s="19">
        <v>5</v>
      </c>
      <c r="B28" s="19" t="str">
        <v>operacion</v>
      </c>
      <c r="C28" s="19" t="str">
        <v>cubano_otro</v>
      </c>
      <c r="D28" s="19">
        <v>5</v>
      </c>
      <c r="E28" s="24">
        <v>120000</v>
      </c>
      <c r="F28" s="14">
        <f>=(E28*((1+Parametros!$C$11)^MAX(0,($A28-1))))</f>
        <v>145860.75</v>
      </c>
      <c r="G28" s="14">
        <f>=D28*F28</f>
        <v>729303.75</v>
      </c>
    </row>
    <row r="29">
      <c r="A29" s="19">
        <v>5</v>
      </c>
      <c r="B29" s="19" t="str">
        <v>operacion</v>
      </c>
      <c r="C29" s="19" t="str">
        <v>extranjero_directivo</v>
      </c>
      <c r="D29" s="19">
        <v>1</v>
      </c>
      <c r="E29" s="24">
        <v>9600000</v>
      </c>
      <c r="F29" s="14">
        <f>=(E29*((1+Parametros!$C$11)^MAX(0,($A29-1))))</f>
        <v>11668860</v>
      </c>
      <c r="G29" s="14">
        <f>=D29*F29</f>
        <v>11668860</v>
      </c>
    </row>
    <row r="30">
      <c r="A30" s="19">
        <v>6</v>
      </c>
      <c r="B30" s="19" t="str">
        <v>operacion</v>
      </c>
      <c r="C30" s="19" t="str">
        <v>cubano_directivo</v>
      </c>
      <c r="D30" s="19">
        <v>3</v>
      </c>
      <c r="E30" s="24">
        <v>312000</v>
      </c>
      <c r="F30" s="14">
        <f>=(E30*((1+Parametros!$C$11)^MAX(0,($A30-1))))</f>
        <v>398199.84750000003</v>
      </c>
      <c r="G30" s="14">
        <f>=D30*F30</f>
        <v>1194599.5425000002</v>
      </c>
    </row>
    <row r="31">
      <c r="A31" s="19">
        <v>6</v>
      </c>
      <c r="B31" s="19" t="str">
        <v>operacion</v>
      </c>
      <c r="C31" s="19" t="str">
        <v>cubano_otro</v>
      </c>
      <c r="D31" s="19">
        <v>12</v>
      </c>
      <c r="E31" s="24">
        <v>264000</v>
      </c>
      <c r="F31" s="14">
        <f>=(E31*((1+Parametros!$C$11)^MAX(0,($A31-1))))</f>
        <v>336938.3325</v>
      </c>
      <c r="G31" s="14">
        <f>=D31*F31</f>
        <v>4043259.99</v>
      </c>
    </row>
    <row r="32">
      <c r="A32" s="19">
        <v>6</v>
      </c>
      <c r="B32" s="19" t="str">
        <v>operacion</v>
      </c>
      <c r="C32" s="19" t="str">
        <v>cubano_otro</v>
      </c>
      <c r="D32" s="19">
        <v>6</v>
      </c>
      <c r="E32" s="24">
        <v>168000</v>
      </c>
      <c r="F32" s="14">
        <f>=(E32*((1+Parametros!$C$11)^MAX(0,($A32-1))))</f>
        <v>214415.30250000002</v>
      </c>
      <c r="G32" s="14">
        <f>=D32*F32</f>
        <v>1286491.8150000002</v>
      </c>
    </row>
    <row r="33">
      <c r="A33" s="19">
        <v>6</v>
      </c>
      <c r="B33" s="19" t="str">
        <v>operacion</v>
      </c>
      <c r="C33" s="19" t="str">
        <v>cubano_otro</v>
      </c>
      <c r="D33" s="19">
        <v>5</v>
      </c>
      <c r="E33" s="24">
        <v>120000</v>
      </c>
      <c r="F33" s="14">
        <f>=(E33*((1+Parametros!$C$11)^MAX(0,($A33-1))))</f>
        <v>153153.7875</v>
      </c>
      <c r="G33" s="14">
        <f>=D33*F33</f>
        <v>765768.9375000001</v>
      </c>
    </row>
    <row r="34">
      <c r="A34" s="19">
        <v>6</v>
      </c>
      <c r="B34" s="19" t="str">
        <v>operacion</v>
      </c>
      <c r="C34" s="19" t="str">
        <v>extranjero_directivo</v>
      </c>
      <c r="D34" s="19">
        <v>1</v>
      </c>
      <c r="E34" s="24">
        <v>9600000</v>
      </c>
      <c r="F34" s="14">
        <f>=(E34*((1+Parametros!$C$11)^MAX(0,($A34-1))))</f>
        <v>12252303.000000002</v>
      </c>
      <c r="G34" s="14">
        <f>=D34*F34</f>
        <v>12252303.000000002</v>
      </c>
    </row>
    <row r="35">
      <c r="A35" s="19">
        <v>7</v>
      </c>
      <c r="B35" s="19" t="str">
        <v>operacion</v>
      </c>
      <c r="C35" s="19" t="str">
        <v>cubano_directivo</v>
      </c>
      <c r="D35" s="19">
        <v>3</v>
      </c>
      <c r="E35" s="24">
        <v>312000</v>
      </c>
      <c r="F35" s="14">
        <f>=(E35*((1+Parametros!$C$11)^MAX(0,($A35-1))))</f>
        <v>418109.839875</v>
      </c>
      <c r="G35" s="14">
        <f>=D35*F35</f>
        <v>1254329.519625</v>
      </c>
    </row>
    <row r="36">
      <c r="A36" s="19">
        <v>7</v>
      </c>
      <c r="B36" s="19" t="str">
        <v>operacion</v>
      </c>
      <c r="C36" s="19" t="str">
        <v>cubano_otro</v>
      </c>
      <c r="D36" s="19">
        <v>12</v>
      </c>
      <c r="E36" s="24">
        <v>264000</v>
      </c>
      <c r="F36" s="14">
        <f>=(E36*((1+Parametros!$C$11)^MAX(0,($A36-1))))</f>
        <v>353785.249125</v>
      </c>
      <c r="G36" s="14">
        <f>=D36*F36</f>
        <v>4245422.9895</v>
      </c>
    </row>
    <row r="37">
      <c r="A37" s="19">
        <v>7</v>
      </c>
      <c r="B37" s="19" t="str">
        <v>operacion</v>
      </c>
      <c r="C37" s="19" t="str">
        <v>cubano_otro</v>
      </c>
      <c r="D37" s="19">
        <v>6</v>
      </c>
      <c r="E37" s="24">
        <v>168000</v>
      </c>
      <c r="F37" s="14">
        <f>=(E37*((1+Parametros!$C$11)^MAX(0,($A37-1))))</f>
        <v>225136.067625</v>
      </c>
      <c r="G37" s="14">
        <f>=D37*F37</f>
        <v>1350816.40575</v>
      </c>
    </row>
    <row r="38">
      <c r="A38" s="19">
        <v>7</v>
      </c>
      <c r="B38" s="19" t="str">
        <v>operacion</v>
      </c>
      <c r="C38" s="19" t="str">
        <v>cubano_otro</v>
      </c>
      <c r="D38" s="19">
        <v>5</v>
      </c>
      <c r="E38" s="24">
        <v>120000</v>
      </c>
      <c r="F38" s="14">
        <f>=(E38*((1+Parametros!$C$11)^MAX(0,($A38-1))))</f>
        <v>160811.476875</v>
      </c>
      <c r="G38" s="14">
        <f>=D38*F38</f>
        <v>804057.384375</v>
      </c>
    </row>
    <row r="39">
      <c r="A39" s="19">
        <v>7</v>
      </c>
      <c r="B39" s="19" t="str">
        <v>operacion</v>
      </c>
      <c r="C39" s="19" t="str">
        <v>extranjero_directivo</v>
      </c>
      <c r="D39" s="19">
        <v>1</v>
      </c>
      <c r="E39" s="24">
        <v>9600000</v>
      </c>
      <c r="F39" s="14">
        <f>=(E39*((1+Parametros!$C$11)^MAX(0,($A39-1))))</f>
        <v>12864918.15</v>
      </c>
      <c r="G39" s="14">
        <f>=D39*F39</f>
        <v>12864918.15</v>
      </c>
    </row>
    <row r="40">
      <c r="A40" s="19">
        <v>8</v>
      </c>
      <c r="B40" s="19" t="str">
        <v>operacion</v>
      </c>
      <c r="C40" s="19" t="str">
        <v>cubano_directivo</v>
      </c>
      <c r="D40" s="19">
        <v>3</v>
      </c>
      <c r="E40" s="24">
        <v>312000</v>
      </c>
      <c r="F40" s="14">
        <f>=(E40*((1+Parametros!$C$11)^MAX(0,($A40-1))))</f>
        <v>439015.3318687501</v>
      </c>
      <c r="G40" s="14">
        <f>=D40*F40</f>
        <v>1317045.9956062501</v>
      </c>
    </row>
    <row r="41">
      <c r="A41" s="19">
        <v>8</v>
      </c>
      <c r="B41" s="19" t="str">
        <v>operacion</v>
      </c>
      <c r="C41" s="19" t="str">
        <v>cubano_otro</v>
      </c>
      <c r="D41" s="19">
        <v>12</v>
      </c>
      <c r="E41" s="24">
        <v>264000</v>
      </c>
      <c r="F41" s="14">
        <f>=(E41*((1+Parametros!$C$11)^MAX(0,($A41-1))))</f>
        <v>371474.51158125006</v>
      </c>
      <c r="G41" s="14">
        <f>=D41*F41</f>
        <v>4457694.138975001</v>
      </c>
    </row>
    <row r="42">
      <c r="A42" s="19">
        <v>8</v>
      </c>
      <c r="B42" s="19" t="str">
        <v>operacion</v>
      </c>
      <c r="C42" s="19" t="str">
        <v>cubano_otro</v>
      </c>
      <c r="D42" s="19">
        <v>6</v>
      </c>
      <c r="E42" s="24">
        <v>168000</v>
      </c>
      <c r="F42" s="14">
        <f>=(E42*((1+Parametros!$C$11)^MAX(0,($A42-1))))</f>
        <v>236392.87100625003</v>
      </c>
      <c r="G42" s="14">
        <f>=D42*F42</f>
        <v>1418357.2260375002</v>
      </c>
    </row>
    <row r="43">
      <c r="A43" s="19">
        <v>8</v>
      </c>
      <c r="B43" s="19" t="str">
        <v>operacion</v>
      </c>
      <c r="C43" s="19" t="str">
        <v>cubano_otro</v>
      </c>
      <c r="D43" s="19">
        <v>5</v>
      </c>
      <c r="E43" s="24">
        <v>120000</v>
      </c>
      <c r="F43" s="14">
        <f>=(E43*((1+Parametros!$C$11)^MAX(0,($A43-1))))</f>
        <v>168852.05071875002</v>
      </c>
      <c r="G43" s="14">
        <f>=D43*F43</f>
        <v>844260.2535937502</v>
      </c>
    </row>
    <row r="44">
      <c r="A44" s="19">
        <v>8</v>
      </c>
      <c r="B44" s="19" t="str">
        <v>operacion</v>
      </c>
      <c r="C44" s="19" t="str">
        <v>extranjero_directivo</v>
      </c>
      <c r="D44" s="19">
        <v>1</v>
      </c>
      <c r="E44" s="24">
        <v>9600000</v>
      </c>
      <c r="F44" s="14">
        <f>=(E44*((1+Parametros!$C$11)^MAX(0,($A44-1))))</f>
        <v>13508164.057500003</v>
      </c>
      <c r="G44" s="14">
        <f>=D44*F44</f>
        <v>13508164.057500003</v>
      </c>
    </row>
    <row r="45">
      <c r="A45" s="19">
        <v>9</v>
      </c>
      <c r="B45" s="19" t="str">
        <v>operacion</v>
      </c>
      <c r="C45" s="19" t="str">
        <v>cubano_directivo</v>
      </c>
      <c r="D45" s="19">
        <v>3</v>
      </c>
      <c r="E45" s="24">
        <v>312000</v>
      </c>
      <c r="F45" s="14">
        <f>=(E45*((1+Parametros!$C$11)^MAX(0,($A45-1))))</f>
        <v>460966.0984621875</v>
      </c>
      <c r="G45" s="14">
        <f>=D45*F45</f>
        <v>1382898.2953865626</v>
      </c>
    </row>
    <row r="46">
      <c r="A46" s="19">
        <v>9</v>
      </c>
      <c r="B46" s="19" t="str">
        <v>operacion</v>
      </c>
      <c r="C46" s="19" t="str">
        <v>cubano_otro</v>
      </c>
      <c r="D46" s="19">
        <v>12</v>
      </c>
      <c r="E46" s="24">
        <v>264000</v>
      </c>
      <c r="F46" s="14">
        <f>=(E46*((1+Parametros!$C$11)^MAX(0,($A46-1))))</f>
        <v>390048.23716031254</v>
      </c>
      <c r="G46" s="14">
        <f>=D46*F46</f>
        <v>4680578.845923751</v>
      </c>
    </row>
    <row r="47">
      <c r="A47" s="19">
        <v>9</v>
      </c>
      <c r="B47" s="19" t="str">
        <v>operacion</v>
      </c>
      <c r="C47" s="19" t="str">
        <v>cubano_otro</v>
      </c>
      <c r="D47" s="19">
        <v>6</v>
      </c>
      <c r="E47" s="24">
        <v>168000</v>
      </c>
      <c r="F47" s="14">
        <f>=(E47*((1+Parametros!$C$11)^MAX(0,($A47-1))))</f>
        <v>248212.5145565625</v>
      </c>
      <c r="G47" s="14">
        <f>=D47*F47</f>
        <v>1489275.0873393752</v>
      </c>
    </row>
    <row r="48">
      <c r="A48" s="19">
        <v>9</v>
      </c>
      <c r="B48" s="19" t="str">
        <v>operacion</v>
      </c>
      <c r="C48" s="19" t="str">
        <v>cubano_otro</v>
      </c>
      <c r="D48" s="19">
        <v>5</v>
      </c>
      <c r="E48" s="24">
        <v>120000</v>
      </c>
      <c r="F48" s="14">
        <f>=(E48*((1+Parametros!$C$11)^MAX(0,($A48-1))))</f>
        <v>177294.6532546875</v>
      </c>
      <c r="G48" s="14">
        <f>=D48*F48</f>
        <v>886473.2662734375</v>
      </c>
    </row>
    <row r="49">
      <c r="A49" s="19">
        <v>9</v>
      </c>
      <c r="B49" s="19" t="str">
        <v>operacion</v>
      </c>
      <c r="C49" s="19" t="str">
        <v>extranjero_directivo</v>
      </c>
      <c r="D49" s="19">
        <v>1</v>
      </c>
      <c r="E49" s="24">
        <v>9600000</v>
      </c>
      <c r="F49" s="14">
        <f>=(E49*((1+Parametros!$C$11)^MAX(0,($A49-1))))</f>
        <v>14183572.260375</v>
      </c>
      <c r="G49" s="14">
        <f>=D49*F49</f>
        <v>14183572.260375</v>
      </c>
    </row>
    <row r="50">
      <c r="A50" s="19">
        <v>10</v>
      </c>
      <c r="B50" s="19" t="str">
        <v>operacion</v>
      </c>
      <c r="C50" s="19" t="str">
        <v>cubano_directivo</v>
      </c>
      <c r="D50" s="19">
        <v>3</v>
      </c>
      <c r="E50" s="24">
        <v>312000</v>
      </c>
      <c r="F50" s="14">
        <f>=(E50*((1+Parametros!$C$11)^MAX(0,($A50-1))))</f>
        <v>484014.40338529693</v>
      </c>
      <c r="G50" s="14">
        <f>=D50*F50</f>
        <v>1452043.2101558908</v>
      </c>
    </row>
    <row r="51">
      <c r="A51" s="19">
        <v>10</v>
      </c>
      <c r="B51" s="19" t="str">
        <v>operacion</v>
      </c>
      <c r="C51" s="19" t="str">
        <v>cubano_otro</v>
      </c>
      <c r="D51" s="19">
        <v>12</v>
      </c>
      <c r="E51" s="24">
        <v>264000</v>
      </c>
      <c r="F51" s="14">
        <f>=(E51*((1+Parametros!$C$11)^MAX(0,($A51-1))))</f>
        <v>409550.6490183282</v>
      </c>
      <c r="G51" s="14">
        <f>=D51*F51</f>
        <v>4914607.788219938</v>
      </c>
    </row>
    <row r="52">
      <c r="A52" s="19">
        <v>10</v>
      </c>
      <c r="B52" s="19" t="str">
        <v>operacion</v>
      </c>
      <c r="C52" s="19" t="str">
        <v>cubano_otro</v>
      </c>
      <c r="D52" s="19">
        <v>6</v>
      </c>
      <c r="E52" s="24">
        <v>168000</v>
      </c>
      <c r="F52" s="14">
        <f>=(E52*((1+Parametros!$C$11)^MAX(0,($A52-1))))</f>
        <v>260623.14028439065</v>
      </c>
      <c r="G52" s="14">
        <f>=D52*F52</f>
        <v>1563738.841706344</v>
      </c>
    </row>
    <row r="53">
      <c r="A53" s="19">
        <v>10</v>
      </c>
      <c r="B53" s="19" t="str">
        <v>operacion</v>
      </c>
      <c r="C53" s="19" t="str">
        <v>cubano_otro</v>
      </c>
      <c r="D53" s="19">
        <v>5</v>
      </c>
      <c r="E53" s="24">
        <v>120000</v>
      </c>
      <c r="F53" s="14">
        <f>=(E53*((1+Parametros!$C$11)^MAX(0,($A53-1))))</f>
        <v>186159.3859174219</v>
      </c>
      <c r="G53" s="14">
        <f>=D53*F53</f>
        <v>930796.9295871095</v>
      </c>
    </row>
    <row r="54">
      <c r="A54" s="19">
        <v>10</v>
      </c>
      <c r="B54" s="19" t="str">
        <v>operacion</v>
      </c>
      <c r="C54" s="19" t="str">
        <v>extranjero_directivo</v>
      </c>
      <c r="D54" s="19">
        <v>1</v>
      </c>
      <c r="E54" s="24">
        <v>9600000</v>
      </c>
      <c r="F54" s="14">
        <f>=(E54*((1+Parametros!$C$11)^MAX(0,($A54-1))))</f>
        <v>14892750.873393752</v>
      </c>
      <c r="G54" s="14">
        <f>=D54*F54</f>
        <v>14892750.873393752</v>
      </c>
    </row>
    <row r="56">
      <c r="A56" s="7" t="str">
        <v>Nota: las filas de etapa «montaje» corresponden al año 0; las de «operación» a los años 1 en adelante.</v>
      </c>
    </row>
    <row r="57">
      <c r="A57" s="7" t="str">
        <v>Entidad autorizada a contratar la fuerza de trabajo: Entidad empleadora autorizada (supuesto ilustrativo: la parte nacional contratante según la legislación vigente).</v>
      </c>
    </row>
  </sheetData>
  <ignoredErrors>
    <ignoredError numberStoredAsText="1" sqref="A1:G57"/>
  </ignoredErrors>
</worksheet>
</file>

<file path=xl/worksheets/sheet9.xml><?xml version="1.0" encoding="utf-8"?>
<worksheet xmlns="http://schemas.openxmlformats.org/spreadsheetml/2006/main" xmlns:r="http://schemas.openxmlformats.org/officeDocument/2006/relationships">
  <dimension ref="A1:N27"/>
  <sheetViews>
    <sheetView workbookViewId="0"/>
  </sheetViews>
  <cols>
    <col min="1" max="1" width="44.83203125" customWidth="1"/>
    <col min="2" max="2" width="8.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 min="13" max="13" width="11.83203125" customWidth="1"/>
    <col min="14" max="14" width="12.83203125" customWidth="1"/>
  </cols>
  <sheetData>
    <row r="1">
      <c r="A1" s="3" t="str">
        <v>Proyección de ingresos, costos, utilidades y flujos (4.7) — miles de USD</v>
      </c>
    </row>
    <row r="2">
      <c r="A2" s="7" t="str">
        <v>Año 0 = inversión; años 1–N = operación. Celdas ámbar = entrada; verdes = fórmula con referencias entre hojas.</v>
      </c>
    </row>
    <row r="3">
      <c r="A3" s="11" t="str">
        <v>Concepto</v>
      </c>
      <c r="B3" s="11" t="str">
        <v>Unidad</v>
      </c>
      <c r="C3" s="25">
        <v>0</v>
      </c>
      <c r="D3" s="25">
        <v>1</v>
      </c>
      <c r="E3" s="25">
        <v>2</v>
      </c>
      <c r="F3" s="25">
        <v>3</v>
      </c>
      <c r="G3" s="25">
        <v>4</v>
      </c>
      <c r="H3" s="25">
        <v>5</v>
      </c>
      <c r="I3" s="25">
        <v>6</v>
      </c>
      <c r="J3" s="25">
        <v>7</v>
      </c>
      <c r="K3" s="25">
        <v>8</v>
      </c>
      <c r="L3" s="25">
        <v>9</v>
      </c>
      <c r="M3" s="25">
        <v>10</v>
      </c>
      <c r="N3" s="25" t="str">
        <v>Total</v>
      </c>
    </row>
    <row r="4">
      <c r="A4" s="2" t="str">
        <v>Ingresos por servicios (USD)</v>
      </c>
      <c r="B4" s="2" t="str">
        <v>USD</v>
      </c>
      <c r="C4" s="6">
        <f>=SUMIFS(Servicios!$K$4:$K$93,Servicios!$A$4:$A$93,C$3)</f>
        <v>0</v>
      </c>
      <c r="D4" s="6">
        <f>=SUMIFS(Servicios!$K$4:$K$93,Servicios!$A$4:$A$93,D$3)</f>
        <v>967800</v>
      </c>
      <c r="E4" s="6">
        <f>=SUMIFS(Servicios!$K$4:$K$93,Servicios!$A$4:$A$93,E$3)</f>
        <v>1046675.7000000001</v>
      </c>
      <c r="F4" s="6">
        <f>=SUMIFS(Servicios!$K$4:$K$93,Servicios!$A$4:$A$93,F$3)</f>
        <v>1131979.7695499999</v>
      </c>
      <c r="G4" s="6">
        <f>=SUMIFS(Servicios!$K$4:$K$93,Servicios!$A$4:$A$93,G$3)</f>
        <v>1224236.1207683252</v>
      </c>
      <c r="H4" s="6">
        <f>=SUMIFS(Servicios!$K$4:$K$93,Servicios!$A$4:$A$93,H$3)</f>
        <v>1324011.3646109432</v>
      </c>
      <c r="I4" s="6">
        <f>=SUMIFS(Servicios!$K$4:$K$93,Servicios!$A$4:$A$93,I$3)</f>
        <v>1431918.2908267356</v>
      </c>
      <c r="J4" s="6">
        <f>=SUMIFS(Servicios!$K$4:$K$93,Servicios!$A$4:$A$93,J$3)</f>
        <v>1548619.631529114</v>
      </c>
      <c r="K4" s="6">
        <f>=SUMIFS(Servicios!$K$4:$K$93,Servicios!$A$4:$A$93,K$3)</f>
        <v>1674832.1314987373</v>
      </c>
      <c r="L4" s="6">
        <f>=SUMIFS(Servicios!$K$4:$K$93,Servicios!$A$4:$A$93,L$3)</f>
        <v>1811330.950215884</v>
      </c>
      <c r="M4" s="6">
        <f>=SUMIFS(Servicios!$K$4:$K$93,Servicios!$A$4:$A$93,M$3)</f>
        <v>1958954.4226584788</v>
      </c>
      <c r="N4" s="21" t="str">
        <f>=SUM(C4:M4)</f>
        <v>#ERROR</v>
      </c>
    </row>
    <row r="5">
      <c r="A5" s="2" t="str">
        <v>Ingresos por servicios</v>
      </c>
      <c r="B5" s="2" t="str">
        <v>kUSD</v>
      </c>
      <c r="C5" s="6">
        <f>=(C$4/1000)</f>
        <v>0</v>
      </c>
      <c r="D5" s="6">
        <f>=(D$4/1000)</f>
        <v>967.8</v>
      </c>
      <c r="E5" s="6">
        <f>=(E$4/1000)</f>
        <v>1046.6757</v>
      </c>
      <c r="F5" s="6">
        <f>=(F$4/1000)</f>
        <v>1131.97976955</v>
      </c>
      <c r="G5" s="6">
        <f>=(G$4/1000)</f>
        <v>1224.2361207683252</v>
      </c>
      <c r="H5" s="6">
        <f>=(H$4/1000)</f>
        <v>1324.0113646109432</v>
      </c>
      <c r="I5" s="6">
        <f>=(I$4/1000)</f>
        <v>1431.9182908267355</v>
      </c>
      <c r="J5" s="6">
        <f>=(J$4/1000)</f>
        <v>1548.619631529114</v>
      </c>
      <c r="K5" s="6">
        <f>=(K$4/1000)</f>
        <v>1674.8321314987372</v>
      </c>
      <c r="L5" s="6">
        <f>=(L$4/1000)</f>
        <v>1811.330950215884</v>
      </c>
      <c r="M5" s="6">
        <f>=(M$4/1000)</f>
        <v>1958.9544226584787</v>
      </c>
      <c r="N5" s="21" t="str">
        <f>=SUM(C5:M5)</f>
        <v>#ERROR</v>
      </c>
    </row>
    <row r="6">
      <c r="A6" s="2" t="str">
        <v>Otros ingresos (editable)</v>
      </c>
      <c r="B6" s="2" t="str">
        <v>kUSD</v>
      </c>
      <c r="C6" s="16">
        <v>0</v>
      </c>
      <c r="D6" s="16">
        <v>0</v>
      </c>
      <c r="E6" s="16">
        <v>0</v>
      </c>
      <c r="F6" s="16">
        <v>0</v>
      </c>
      <c r="G6" s="16">
        <v>0</v>
      </c>
      <c r="H6" s="16">
        <v>0</v>
      </c>
      <c r="I6" s="16">
        <v>0</v>
      </c>
      <c r="J6" s="16">
        <v>0</v>
      </c>
      <c r="K6" s="16">
        <v>0</v>
      </c>
      <c r="L6" s="16">
        <v>0</v>
      </c>
      <c r="M6" s="16">
        <v>0</v>
      </c>
      <c r="N6" s="21">
        <f>=SUM(C6:M6)</f>
        <v>0</v>
      </c>
    </row>
    <row r="7">
      <c r="A7" s="22" t="str">
        <v>INGRESOS TOTALES</v>
      </c>
      <c r="B7" s="2" t="str">
        <v>kUSD</v>
      </c>
      <c r="C7" s="21">
        <f>=(C$5+C$6)</f>
        <v>0</v>
      </c>
      <c r="D7" s="21">
        <f>=(D$5+D$6)</f>
        <v>967.8</v>
      </c>
      <c r="E7" s="21">
        <f>=(E$5+E$6)</f>
        <v>1046.6757</v>
      </c>
      <c r="F7" s="21">
        <f>=(F$5+F$6)</f>
        <v>1131.97976955</v>
      </c>
      <c r="G7" s="21">
        <f>=(G$5+G$6)</f>
        <v>1224.2361207683252</v>
      </c>
      <c r="H7" s="21">
        <f>=(H$5+H$6)</f>
        <v>1324.0113646109432</v>
      </c>
      <c r="I7" s="21">
        <f>=(I$5+I$6)</f>
        <v>1431.9182908267355</v>
      </c>
      <c r="J7" s="21">
        <f>=(J$5+J$6)</f>
        <v>1548.619631529114</v>
      </c>
      <c r="K7" s="21">
        <f>=(K$5+K$6)</f>
        <v>1674.8321314987372</v>
      </c>
      <c r="L7" s="21">
        <f>=(L$5+L$6)</f>
        <v>1811.330950215884</v>
      </c>
      <c r="M7" s="21">
        <f>=(M$5+M$6)</f>
        <v>1958.9544226584787</v>
      </c>
      <c r="N7" s="21" t="str">
        <f>=SUM(C7:M7)</f>
        <v>#ERROR</v>
      </c>
    </row>
    <row r="8">
      <c r="A8" s="2" t="str">
        <v>Costos variables (USD)</v>
      </c>
      <c r="B8" s="2" t="str">
        <v>USD</v>
      </c>
      <c r="C8" s="6">
        <f>=SUMIFS(Servicios!$L$4:$L$93,Servicios!$A$4:$A$93,C$3)</f>
        <v>0</v>
      </c>
      <c r="D8" s="6">
        <f>=SUMIFS(Servicios!$L$4:$L$93,Servicios!$A$4:$A$93,D$3)</f>
        <v>254820</v>
      </c>
      <c r="E8" s="6">
        <f>=SUMIFS(Servicios!$L$4:$L$93,Servicios!$A$4:$A$93,E$3)</f>
        <v>278263.44</v>
      </c>
      <c r="F8" s="6">
        <f>=SUMIFS(Servicios!$L$4:$L$93,Servicios!$A$4:$A$93,F$3)</f>
        <v>303863.67648</v>
      </c>
      <c r="G8" s="6">
        <f>=SUMIFS(Servicios!$L$4:$L$93,Servicios!$A$4:$A$93,G$3)</f>
        <v>331819.1347161601</v>
      </c>
      <c r="H8" s="6">
        <f>=SUMIFS(Servicios!$L$4:$L$93,Servicios!$A$4:$A$93,H$3)</f>
        <v>362346.4951100468</v>
      </c>
      <c r="I8" s="6">
        <f>=SUMIFS(Servicios!$L$4:$L$93,Servicios!$A$4:$A$93,I$3)</f>
        <v>395682.3726601712</v>
      </c>
      <c r="J8" s="6">
        <f>=SUMIFS(Servicios!$L$4:$L$93,Servicios!$A$4:$A$93,J$3)</f>
        <v>432085.15094490687</v>
      </c>
      <c r="K8" s="6">
        <f>=SUMIFS(Servicios!$L$4:$L$93,Servicios!$A$4:$A$93,K$3)</f>
        <v>471836.9848318383</v>
      </c>
      <c r="L8" s="6">
        <f>=SUMIFS(Servicios!$L$4:$L$93,Servicios!$A$4:$A$93,L$3)</f>
        <v>515245.98743636743</v>
      </c>
      <c r="M8" s="6">
        <f>=SUMIFS(Servicios!$L$4:$L$93,Servicios!$A$4:$A$93,M$3)</f>
        <v>562648.6182805133</v>
      </c>
      <c r="N8" s="21" t="str">
        <f>=SUM(C8:M8)</f>
        <v>#ERROR</v>
      </c>
    </row>
    <row r="9">
      <c r="A9" s="2" t="str">
        <v>Costos variables</v>
      </c>
      <c r="B9" s="2" t="str">
        <v>kUSD</v>
      </c>
      <c r="C9" s="6">
        <f>=(C$8/1000)</f>
        <v>0</v>
      </c>
      <c r="D9" s="6">
        <f>=(D$8/1000)</f>
        <v>254.82</v>
      </c>
      <c r="E9" s="6">
        <f>=(E$8/1000)</f>
        <v>278.26344</v>
      </c>
      <c r="F9" s="6">
        <f>=(F$8/1000)</f>
        <v>303.86367648000004</v>
      </c>
      <c r="G9" s="6">
        <f>=(G$8/1000)</f>
        <v>331.8191347161601</v>
      </c>
      <c r="H9" s="6">
        <f>=(H$8/1000)</f>
        <v>362.3464951100468</v>
      </c>
      <c r="I9" s="6">
        <f>=(I$8/1000)</f>
        <v>395.68237266017115</v>
      </c>
      <c r="J9" s="6">
        <f>=(J$8/1000)</f>
        <v>432.08515094490684</v>
      </c>
      <c r="K9" s="6">
        <f>=(K$8/1000)</f>
        <v>471.83698483183827</v>
      </c>
      <c r="L9" s="6">
        <f>=(L$8/1000)</f>
        <v>515.2459874363674</v>
      </c>
      <c r="M9" s="6">
        <f>=(M$8/1000)</f>
        <v>562.6486182805133</v>
      </c>
      <c r="N9" s="21" t="str">
        <f>=SUM(C9:M9)</f>
        <v>#ERROR</v>
      </c>
    </row>
    <row r="10">
      <c r="A10" s="2" t="str">
        <v>Costo laboral (CUP)</v>
      </c>
      <c r="B10" s="2" t="str">
        <v>CUP</v>
      </c>
      <c r="C10" s="6">
        <f>=(SUMPRODUCT((Personal!$A$4:$A$54=C$3)*$D$4:$D$54*$F$4:$F$54)*Parametros!$C$14)</f>
        <v>576000</v>
      </c>
      <c r="D10" s="6">
        <f>=(SUMPRODUCT((Personal!$A$4:$A$54=D$3)*$D$4:$D$54*$F$4:$F$54)*Parametros!$C$14)</f>
        <v>15312000</v>
      </c>
      <c r="E10" s="6">
        <f>=(SUMPRODUCT((Personal!$A$4:$A$54=E$3)*$D$4:$D$54*$F$4:$F$54)*Parametros!$C$14)</f>
        <v>16077600</v>
      </c>
      <c r="F10" s="6">
        <f>=(SUMPRODUCT((Personal!$A$4:$A$54=F$3)*$D$4:$D$54*$F$4:$F$54)*Parametros!$C$14)</f>
        <v>16881480</v>
      </c>
      <c r="G10" s="6">
        <f>=(SUMPRODUCT((Personal!$A$4:$A$54=G$3)*$D$4:$D$54*$F$4:$F$54)*Parametros!$C$14)</f>
        <v>17725554.000000004</v>
      </c>
      <c r="H10" s="6">
        <f>=(SUMPRODUCT((Personal!$A$4:$A$54=H$3)*$D$4:$D$54*$F$4:$F$54)*Parametros!$C$14)</f>
        <v>18611831.7</v>
      </c>
      <c r="I10" s="6">
        <f>=(SUMPRODUCT((Personal!$A$4:$A$54=I$3)*$D$4:$D$54*$F$4:$F$54)*Parametros!$C$14)</f>
        <v>19542423.285000004</v>
      </c>
      <c r="J10" s="6">
        <f>=(SUMPRODUCT((Personal!$A$4:$A$54=J$3)*$D$4:$D$54*$F$4:$F$54)*Parametros!$C$14)</f>
        <v>20519544.449249998</v>
      </c>
      <c r="K10" s="6">
        <f>=(SUMPRODUCT((Personal!$A$4:$A$54=K$3)*$D$4:$D$54*$F$4:$F$54)*Parametros!$C$14)</f>
        <v>21545521.671712503</v>
      </c>
      <c r="L10" s="6">
        <f>=(SUMPRODUCT((Personal!$A$4:$A$54=L$3)*$D$4:$D$54*$F$4:$F$54)*Parametros!$C$14)</f>
        <v>22622797.755298126</v>
      </c>
      <c r="M10" s="6">
        <f>=(SUMPRODUCT((Personal!$A$4:$A$54=M$3)*$D$4:$D$54*$F$4:$F$54)*Parametros!$C$14)</f>
        <v>23753937.643063035</v>
      </c>
      <c r="N10" s="21" t="str">
        <f>=SUM(C10:M10)</f>
        <v>#ERROR</v>
      </c>
    </row>
    <row r="11">
      <c r="A11" s="2" t="str">
        <v>Costo laboral</v>
      </c>
      <c r="B11" s="2" t="str">
        <v>kUSD</v>
      </c>
      <c r="C11" s="6">
        <f>=((C$10/Parametros!$C$4)/1000)</f>
        <v>1.44</v>
      </c>
      <c r="D11" s="6">
        <f>=((D$10/Parametros!$C$4)/1000)</f>
        <v>38.28</v>
      </c>
      <c r="E11" s="6">
        <f>=((E$10/Parametros!$C$4)/1000)</f>
        <v>40.194</v>
      </c>
      <c r="F11" s="6">
        <f>=((F$10/Parametros!$C$4)/1000)</f>
        <v>42.2037</v>
      </c>
      <c r="G11" s="6">
        <f>=((G$10/Parametros!$C$4)/1000)</f>
        <v>44.313885000000006</v>
      </c>
      <c r="H11" s="6">
        <f>=((H$10/Parametros!$C$4)/1000)</f>
        <v>46.52957925</v>
      </c>
      <c r="I11" s="6">
        <f>=((I$10/Parametros!$C$4)/1000)</f>
        <v>48.85605821250001</v>
      </c>
      <c r="J11" s="6">
        <f>=((J$10/Parametros!$C$4)/1000)</f>
        <v>51.29886112312499</v>
      </c>
      <c r="K11" s="6">
        <f>=((K$10/Parametros!$C$4)/1000)</f>
        <v>53.86380417928126</v>
      </c>
      <c r="L11" s="6">
        <f>=((L$10/Parametros!$C$4)/1000)</f>
        <v>56.556994388245315</v>
      </c>
      <c r="M11" s="6">
        <f>=((M$10/Parametros!$C$4)/1000)</f>
        <v>59.384844107657585</v>
      </c>
      <c r="N11" s="21" t="str">
        <f>=SUM(C11:M11)</f>
        <v>#ERROR</v>
      </c>
    </row>
    <row r="12">
      <c r="A12" s="2" t="str">
        <v>Canon</v>
      </c>
      <c r="B12" s="2" t="str">
        <v>kUSD</v>
      </c>
      <c r="C12" s="6">
        <f>=Parametros!$C$18</f>
        <v>30</v>
      </c>
      <c r="D12" s="6">
        <f>=Parametros!$C$18</f>
        <v>30</v>
      </c>
      <c r="E12" s="6">
        <f>=Parametros!$C$18</f>
        <v>30</v>
      </c>
      <c r="F12" s="6">
        <f>=Parametros!$C$18</f>
        <v>30</v>
      </c>
      <c r="G12" s="6">
        <f>=Parametros!$C$18</f>
        <v>30</v>
      </c>
      <c r="H12" s="6">
        <f>=Parametros!$C$18</f>
        <v>30</v>
      </c>
      <c r="I12" s="6">
        <f>=Parametros!$C$18</f>
        <v>30</v>
      </c>
      <c r="J12" s="6">
        <f>=Parametros!$C$18</f>
        <v>30</v>
      </c>
      <c r="K12" s="6">
        <f>=Parametros!$C$18</f>
        <v>30</v>
      </c>
      <c r="L12" s="6">
        <f>=Parametros!$C$18</f>
        <v>30</v>
      </c>
      <c r="M12" s="6">
        <f>=Parametros!$C$18</f>
        <v>30</v>
      </c>
      <c r="N12" s="21" t="str">
        <f>=SUM(C12:M12)</f>
        <v>#ERROR</v>
      </c>
    </row>
    <row r="13">
      <c r="A13" s="2" t="str">
        <v>Mantenimiento</v>
      </c>
      <c r="B13" s="2" t="str">
        <v>kUSD</v>
      </c>
      <c r="C13" s="6">
        <f>=(Parametros!$C$13*Parametros!$C$2)</f>
        <v>36</v>
      </c>
      <c r="D13" s="6">
        <f>=(Parametros!$C$13*Parametros!$C$2)</f>
        <v>36</v>
      </c>
      <c r="E13" s="6">
        <f>=(Parametros!$C$13*Parametros!$C$2)</f>
        <v>36</v>
      </c>
      <c r="F13" s="6">
        <f>=(Parametros!$C$13*Parametros!$C$2)</f>
        <v>36</v>
      </c>
      <c r="G13" s="6">
        <f>=(Parametros!$C$13*Parametros!$C$2)</f>
        <v>36</v>
      </c>
      <c r="H13" s="6">
        <f>=(Parametros!$C$13*Parametros!$C$2)</f>
        <v>36</v>
      </c>
      <c r="I13" s="6">
        <f>=(Parametros!$C$13*Parametros!$C$2)</f>
        <v>36</v>
      </c>
      <c r="J13" s="6">
        <f>=(Parametros!$C$13*Parametros!$C$2)</f>
        <v>36</v>
      </c>
      <c r="K13" s="6">
        <f>=(Parametros!$C$13*Parametros!$C$2)</f>
        <v>36</v>
      </c>
      <c r="L13" s="6">
        <f>=(Parametros!$C$13*Parametros!$C$2)</f>
        <v>36</v>
      </c>
      <c r="M13" s="6">
        <f>=(Parametros!$C$13*Parametros!$C$2)</f>
        <v>36</v>
      </c>
      <c r="N13" s="21" t="str">
        <f>=SUM(C13:M13)</f>
        <v>#ERROR</v>
      </c>
    </row>
    <row r="14">
      <c r="A14" s="2" t="str">
        <v>Servicios públicos</v>
      </c>
      <c r="B14" s="2" t="str">
        <v>kUSD</v>
      </c>
      <c r="C14" s="6">
        <f>=Parametros!$C$17</f>
        <v>40</v>
      </c>
      <c r="D14" s="6">
        <f>=Parametros!$C$17</f>
        <v>40</v>
      </c>
      <c r="E14" s="6">
        <f>=Parametros!$C$17</f>
        <v>40</v>
      </c>
      <c r="F14" s="6">
        <f>=Parametros!$C$17</f>
        <v>40</v>
      </c>
      <c r="G14" s="6">
        <f>=Parametros!$C$17</f>
        <v>40</v>
      </c>
      <c r="H14" s="6">
        <f>=Parametros!$C$17</f>
        <v>40</v>
      </c>
      <c r="I14" s="6">
        <f>=Parametros!$C$17</f>
        <v>40</v>
      </c>
      <c r="J14" s="6">
        <f>=Parametros!$C$17</f>
        <v>40</v>
      </c>
      <c r="K14" s="6">
        <f>=Parametros!$C$17</f>
        <v>40</v>
      </c>
      <c r="L14" s="6">
        <f>=Parametros!$C$17</f>
        <v>40</v>
      </c>
      <c r="M14" s="6">
        <f>=Parametros!$C$17</f>
        <v>40</v>
      </c>
      <c r="N14" s="21" t="str">
        <f>=SUM(C14:M14)</f>
        <v>#ERROR</v>
      </c>
    </row>
    <row r="15">
      <c r="A15" s="2" t="str">
        <v>Gastos administrativos</v>
      </c>
      <c r="B15" s="2" t="str">
        <v>kUSD</v>
      </c>
      <c r="C15" s="6">
        <f>=(Parametros!$C$12*C$7)</f>
        <v>0</v>
      </c>
      <c r="D15" s="6">
        <f>=(Parametros!$C$12*D$7)</f>
        <v>48.39</v>
      </c>
      <c r="E15" s="6">
        <f>=(Parametros!$C$12*E$7)</f>
        <v>52.333785000000006</v>
      </c>
      <c r="F15" s="6">
        <f>=(Parametros!$C$12*F$7)</f>
        <v>56.5989884775</v>
      </c>
      <c r="G15" s="6">
        <f>=(Parametros!$C$12*G$7)</f>
        <v>61.21180603841626</v>
      </c>
      <c r="H15" s="6">
        <f>=(Parametros!$C$12*H$7)</f>
        <v>66.20056823054716</v>
      </c>
      <c r="I15" s="6">
        <f>=(Parametros!$C$12*I$7)</f>
        <v>71.59591454133678</v>
      </c>
      <c r="J15" s="6">
        <f>=(Parametros!$C$12*J$7)</f>
        <v>77.43098157645571</v>
      </c>
      <c r="K15" s="6">
        <f>=(Parametros!$C$12*K$7)</f>
        <v>83.74160657493687</v>
      </c>
      <c r="L15" s="6">
        <f>=(Parametros!$C$12*L$7)</f>
        <v>90.56654751079421</v>
      </c>
      <c r="M15" s="6">
        <f>=(Parametros!$C$12*M$7)</f>
        <v>97.94772113292395</v>
      </c>
      <c r="N15" s="21" t="str">
        <f>=SUM(C15:M15)</f>
        <v>#ERROR</v>
      </c>
    </row>
    <row r="16">
      <c r="A16" s="2" t="str">
        <v>Otros gastos fijos</v>
      </c>
      <c r="B16" s="2" t="str">
        <v>kUSD</v>
      </c>
      <c r="C16" s="6">
        <f>=Parametros!$C$19</f>
        <v>10</v>
      </c>
      <c r="D16" s="6">
        <f>=Parametros!$C$19</f>
        <v>10</v>
      </c>
      <c r="E16" s="6">
        <f>=Parametros!$C$19</f>
        <v>10</v>
      </c>
      <c r="F16" s="6">
        <f>=Parametros!$C$19</f>
        <v>10</v>
      </c>
      <c r="G16" s="6">
        <f>=Parametros!$C$19</f>
        <v>10</v>
      </c>
      <c r="H16" s="6">
        <f>=Parametros!$C$19</f>
        <v>10</v>
      </c>
      <c r="I16" s="6">
        <f>=Parametros!$C$19</f>
        <v>10</v>
      </c>
      <c r="J16" s="6">
        <f>=Parametros!$C$19</f>
        <v>10</v>
      </c>
      <c r="K16" s="6">
        <f>=Parametros!$C$19</f>
        <v>10</v>
      </c>
      <c r="L16" s="6">
        <f>=Parametros!$C$19</f>
        <v>10</v>
      </c>
      <c r="M16" s="6">
        <f>=Parametros!$C$19</f>
        <v>10</v>
      </c>
      <c r="N16" s="21" t="str">
        <f>=SUM(C16:M16)</f>
        <v>#ERROR</v>
      </c>
    </row>
    <row r="17">
      <c r="A17" s="2" t="str">
        <v>Depreciación</v>
      </c>
      <c r="B17" s="2" t="str">
        <v>kUSD</v>
      </c>
      <c r="C17" s="6">
        <f>=(SUMIFS(Inversion!$F$4:$F$14,Inversion!$B$4:$B$14,"inversion_fija",Inversion!$C$4:$C$14,"USD")+(SUMIFS(Inversion!$F$4:$F$14,Inversion!$B$4:$B$14,"inversion_fija",Inversion!$C$4:$C$14,"CUP")/Parametros!$C$4))</f>
        <v>117.125</v>
      </c>
      <c r="D17" s="6">
        <f>=(SUMIFS(Inversion!$F$4:$F$14,Inversion!$B$4:$B$14,"inversion_fija",Inversion!$C$4:$C$14,"USD")+(SUMIFS(Inversion!$F$4:$F$14,Inversion!$B$4:$B$14,"inversion_fija",Inversion!$C$4:$C$14,"CUP")/Parametros!$C$4))</f>
        <v>117.125</v>
      </c>
      <c r="E17" s="6">
        <f>=(SUMIFS(Inversion!$F$4:$F$14,Inversion!$B$4:$B$14,"inversion_fija",Inversion!$C$4:$C$14,"USD")+(SUMIFS(Inversion!$F$4:$F$14,Inversion!$B$4:$B$14,"inversion_fija",Inversion!$C$4:$C$14,"CUP")/Parametros!$C$4))</f>
        <v>117.125</v>
      </c>
      <c r="F17" s="6">
        <f>=(SUMIFS(Inversion!$F$4:$F$14,Inversion!$B$4:$B$14,"inversion_fija",Inversion!$C$4:$C$14,"USD")+(SUMIFS(Inversion!$F$4:$F$14,Inversion!$B$4:$B$14,"inversion_fija",Inversion!$C$4:$C$14,"CUP")/Parametros!$C$4))</f>
        <v>117.125</v>
      </c>
      <c r="G17" s="6">
        <f>=(SUMIFS(Inversion!$F$4:$F$14,Inversion!$B$4:$B$14,"inversion_fija",Inversion!$C$4:$C$14,"USD")+(SUMIFS(Inversion!$F$4:$F$14,Inversion!$B$4:$B$14,"inversion_fija",Inversion!$C$4:$C$14,"CUP")/Parametros!$C$4))</f>
        <v>117.125</v>
      </c>
      <c r="H17" s="6">
        <f>=(SUMIFS(Inversion!$F$4:$F$14,Inversion!$B$4:$B$14,"inversion_fija",Inversion!$C$4:$C$14,"USD")+(SUMIFS(Inversion!$F$4:$F$14,Inversion!$B$4:$B$14,"inversion_fija",Inversion!$C$4:$C$14,"CUP")/Parametros!$C$4))</f>
        <v>117.125</v>
      </c>
      <c r="I17" s="6">
        <f>=(SUMIFS(Inversion!$F$4:$F$14,Inversion!$B$4:$B$14,"inversion_fija",Inversion!$C$4:$C$14,"USD")+(SUMIFS(Inversion!$F$4:$F$14,Inversion!$B$4:$B$14,"inversion_fija",Inversion!$C$4:$C$14,"CUP")/Parametros!$C$4))</f>
        <v>117.125</v>
      </c>
      <c r="J17" s="6">
        <f>=(SUMIFS(Inversion!$F$4:$F$14,Inversion!$B$4:$B$14,"inversion_fija",Inversion!$C$4:$C$14,"USD")+(SUMIFS(Inversion!$F$4:$F$14,Inversion!$B$4:$B$14,"inversion_fija",Inversion!$C$4:$C$14,"CUP")/Parametros!$C$4))</f>
        <v>117.125</v>
      </c>
      <c r="K17" s="6">
        <f>=(SUMIFS(Inversion!$F$4:$F$14,Inversion!$B$4:$B$14,"inversion_fija",Inversion!$C$4:$C$14,"USD")+(SUMIFS(Inversion!$F$4:$F$14,Inversion!$B$4:$B$14,"inversion_fija",Inversion!$C$4:$C$14,"CUP")/Parametros!$C$4))</f>
        <v>117.125</v>
      </c>
      <c r="L17" s="6">
        <f>=(SUMIFS(Inversion!$F$4:$F$14,Inversion!$B$4:$B$14,"inversion_fija",Inversion!$C$4:$C$14,"USD")+(SUMIFS(Inversion!$F$4:$F$14,Inversion!$B$4:$B$14,"inversion_fija",Inversion!$C$4:$C$14,"CUP")/Parametros!$C$4))</f>
        <v>117.125</v>
      </c>
      <c r="M17" s="6">
        <f>=(SUMIFS(Inversion!$F$4:$F$14,Inversion!$B$4:$B$14,"inversion_fija",Inversion!$C$4:$C$14,"USD")+(SUMIFS(Inversion!$F$4:$F$14,Inversion!$B$4:$B$14,"inversion_fija",Inversion!$C$4:$C$14,"CUP")/Parametros!$C$4))</f>
        <v>117.125</v>
      </c>
      <c r="N17" s="21" t="str">
        <f>=SUM(C17:M17)</f>
        <v>#ERROR</v>
      </c>
    </row>
    <row r="18">
      <c r="A18" s="2" t="str">
        <v>Intereses del crédito</v>
      </c>
      <c r="B18" s="2" t="str">
        <v>kUSD</v>
      </c>
      <c r="C18" s="6">
        <f>=IF((C$3=0),0,(B$20*Parametros!$C$5))</f>
        <v>0</v>
      </c>
      <c r="D18" s="6">
        <f>=IF((D$3=0),0,(C$20*Parametros!$C$5))</f>
        <v>24</v>
      </c>
      <c r="E18" s="6">
        <f>=IF((E$3=0),0,(D$20*Parametros!$C$5))</f>
        <v>24</v>
      </c>
      <c r="F18" s="6">
        <f>=IF((F$3=0),0,(E$20*Parametros!$C$5))</f>
        <v>19.2</v>
      </c>
      <c r="G18" s="6">
        <f>=IF((G$3=0),0,(F$20*Parametros!$C$5))</f>
        <v>14.4</v>
      </c>
      <c r="H18" s="6">
        <f>=IF((H$3=0),0,(G$20*Parametros!$C$5))</f>
        <v>9.6</v>
      </c>
      <c r="I18" s="6">
        <f>=IF((I$3=0),0,(H$20*Parametros!$C$5))</f>
        <v>4.8</v>
      </c>
      <c r="J18" s="6">
        <f>=IF((J$3=0),0,(I$20*Parametros!$C$5))</f>
        <v>0</v>
      </c>
      <c r="K18" s="6">
        <f>=IF((K$3=0),0,(J$20*Parametros!$C$5))</f>
        <v>0</v>
      </c>
      <c r="L18" s="6">
        <f>=IF((L$3=0),0,(K$20*Parametros!$C$5))</f>
        <v>0</v>
      </c>
      <c r="M18" s="6">
        <f>=IF((M$3=0),0,(L$20*Parametros!$C$5))</f>
        <v>0</v>
      </c>
      <c r="N18" s="21" t="str">
        <f>=SUM(C18:M18)</f>
        <v>#ERROR</v>
      </c>
    </row>
    <row r="19">
      <c r="A19" s="2" t="str">
        <v>Amortización del crédito</v>
      </c>
      <c r="B19" s="2" t="str">
        <v>kUSD</v>
      </c>
      <c r="C19" s="6">
        <f>=IF(AND((C$3&gt;Parametros!$C$7),(C$3&lt;=(Parametros!$C$7+Parametros!$C$6))),(Parametros!$C$20/Parametros!$C$6),0)</f>
        <v>0</v>
      </c>
      <c r="D19" s="6">
        <f>=IF(AND((D$3&gt;Parametros!$C$7),(D$3&lt;=(Parametros!$C$7+Parametros!$C$6))),(Parametros!$C$20/Parametros!$C$6),0)</f>
        <v>0</v>
      </c>
      <c r="E19" s="6">
        <f>=IF(AND((E$3&gt;Parametros!$C$7),(E$3&lt;=(Parametros!$C$7+Parametros!$C$6))),(Parametros!$C$20/Parametros!$C$6),0)</f>
        <v>60</v>
      </c>
      <c r="F19" s="6">
        <f>=IF(AND((F$3&gt;Parametros!$C$7),(F$3&lt;=(Parametros!$C$7+Parametros!$C$6))),(Parametros!$C$20/Parametros!$C$6),0)</f>
        <v>60</v>
      </c>
      <c r="G19" s="6">
        <f>=IF(AND((G$3&gt;Parametros!$C$7),(G$3&lt;=(Parametros!$C$7+Parametros!$C$6))),(Parametros!$C$20/Parametros!$C$6),0)</f>
        <v>60</v>
      </c>
      <c r="H19" s="6">
        <f>=IF(AND((H$3&gt;Parametros!$C$7),(H$3&lt;=(Parametros!$C$7+Parametros!$C$6))),(Parametros!$C$20/Parametros!$C$6),0)</f>
        <v>60</v>
      </c>
      <c r="I19" s="6">
        <f>=IF(AND((I$3&gt;Parametros!$C$7),(I$3&lt;=(Parametros!$C$7+Parametros!$C$6))),(Parametros!$C$20/Parametros!$C$6),0)</f>
        <v>60</v>
      </c>
      <c r="J19" s="6">
        <f>=IF(AND((J$3&gt;Parametros!$C$7),(J$3&lt;=(Parametros!$C$7+Parametros!$C$6))),(Parametros!$C$20/Parametros!$C$6),0)</f>
        <v>0</v>
      </c>
      <c r="K19" s="6">
        <f>=IF(AND((K$3&gt;Parametros!$C$7),(K$3&lt;=(Parametros!$C$7+Parametros!$C$6))),(Parametros!$C$20/Parametros!$C$6),0)</f>
        <v>0</v>
      </c>
      <c r="L19" s="6">
        <f>=IF(AND((L$3&gt;Parametros!$C$7),(L$3&lt;=(Parametros!$C$7+Parametros!$C$6))),(Parametros!$C$20/Parametros!$C$6),0)</f>
        <v>0</v>
      </c>
      <c r="M19" s="6">
        <f>=IF(AND((M$3&gt;Parametros!$C$7),(M$3&lt;=(Parametros!$C$7+Parametros!$C$6))),(Parametros!$C$20/Parametros!$C$6),0)</f>
        <v>0</v>
      </c>
      <c r="N19" s="21" t="str">
        <f>=SUM(C19:M19)</f>
        <v>#ERROR</v>
      </c>
    </row>
    <row r="20">
      <c r="A20" s="2" t="str">
        <v>Saldo de la deuda (fin de año)</v>
      </c>
      <c r="B20" s="2" t="str">
        <v>kUSD</v>
      </c>
      <c r="C20" s="6">
        <f>=IF((C$3=0),Parametros!$C$20,MAX(0,(B$20-C$19)))</f>
        <v>300</v>
      </c>
      <c r="D20" s="6">
        <f>=IF((D$3=0),Parametros!$C$20,MAX(0,(C$20-D$19)))</f>
        <v>300</v>
      </c>
      <c r="E20" s="6">
        <f>=IF((E$3=0),Parametros!$C$20,MAX(0,(D$20-E$19)))</f>
        <v>240</v>
      </c>
      <c r="F20" s="6">
        <f>=IF((F$3=0),Parametros!$C$20,MAX(0,(E$20-F$19)))</f>
        <v>180</v>
      </c>
      <c r="G20" s="6">
        <f>=IF((G$3=0),Parametros!$C$20,MAX(0,(F$20-G$19)))</f>
        <v>120</v>
      </c>
      <c r="H20" s="6">
        <f>=IF((H$3=0),Parametros!$C$20,MAX(0,(G$20-H$19)))</f>
        <v>60</v>
      </c>
      <c r="I20" s="6">
        <f>=IF((I$3=0),Parametros!$C$20,MAX(0,(H$20-I$19)))</f>
        <v>0</v>
      </c>
      <c r="J20" s="6">
        <f>=IF((J$3=0),Parametros!$C$20,MAX(0,(I$20-J$19)))</f>
        <v>0</v>
      </c>
      <c r="K20" s="6">
        <f>=IF((K$3=0),Parametros!$C$20,MAX(0,(J$20-K$19)))</f>
        <v>0</v>
      </c>
      <c r="L20" s="6">
        <f>=IF((L$3=0),Parametros!$C$20,MAX(0,(K$20-L$19)))</f>
        <v>0</v>
      </c>
      <c r="M20" s="6">
        <f>=IF((M$3=0),Parametros!$C$20,MAX(0,(L$20-M$19)))</f>
        <v>0</v>
      </c>
    </row>
    <row r="21">
      <c r="A21" s="22" t="str">
        <v>COSTOS Y GASTOS TOTALES</v>
      </c>
      <c r="B21" s="2" t="str">
        <v>kUSD</v>
      </c>
      <c r="C21" s="21">
        <f>=((((((((C$9+C$11)+Parametros!$C$18)+C$13)+Parametros!$C$17)+C$15)+Parametros!$C$19)+C$17)+C$18)</f>
        <v>234.565</v>
      </c>
      <c r="D21" s="21">
        <f>=((((((((D$9+D$11)+Parametros!$C$18)+D$13)+Parametros!$C$17)+D$15)+Parametros!$C$19)+D$17)+D$18)</f>
        <v>598.615</v>
      </c>
      <c r="E21" s="21">
        <f>=((((((((E$9+E$11)+Parametros!$C$18)+E$13)+Parametros!$C$17)+E$15)+Parametros!$C$19)+E$17)+E$18)</f>
        <v>627.916225</v>
      </c>
      <c r="F21" s="21">
        <f>=((((((((F$9+F$11)+Parametros!$C$18)+F$13)+Parametros!$C$17)+F$15)+Parametros!$C$19)+F$17)+F$18)</f>
        <v>654.9913649575001</v>
      </c>
      <c r="G21" s="21">
        <f>=((((((((G$9+G$11)+Parametros!$C$18)+G$13)+Parametros!$C$17)+G$15)+Parametros!$C$19)+G$17)+G$18)</f>
        <v>684.8698257545764</v>
      </c>
      <c r="H21" s="21">
        <f>=((((((((H$9+H$11)+Parametros!$C$18)+H$13)+Parametros!$C$17)+H$15)+Parametros!$C$19)+H$17)+H$18)</f>
        <v>717.801642590594</v>
      </c>
      <c r="I21" s="21">
        <f>=((((((((I$9+I$11)+Parametros!$C$18)+I$13)+Parametros!$C$17)+I$15)+Parametros!$C$19)+I$17)+I$18)</f>
        <v>754.0593454140079</v>
      </c>
      <c r="J21" s="21">
        <f>=((((((((J$9+J$11)+Parametros!$C$18)+J$13)+Parametros!$C$17)+J$15)+Parametros!$C$19)+J$17)+J$18)</f>
        <v>793.9399936444875</v>
      </c>
      <c r="K21" s="21">
        <f>=((((((((K$9+K$11)+Parametros!$C$18)+K$13)+Parametros!$C$17)+K$15)+Parametros!$C$19)+K$17)+K$18)</f>
        <v>842.5673955860564</v>
      </c>
      <c r="L21" s="21">
        <f>=((((((((L$9+L$11)+Parametros!$C$18)+L$13)+Parametros!$C$17)+L$15)+Parametros!$C$19)+L$17)+L$18)</f>
        <v>895.4945293354069</v>
      </c>
      <c r="M21" s="21">
        <f>=((((((((M$9+M$11)+Parametros!$C$18)+M$13)+Parametros!$C$17)+M$15)+Parametros!$C$19)+M$17)+M$18)</f>
        <v>953.1061835210949</v>
      </c>
      <c r="N21" s="21" t="str">
        <f>=SUM(C21:M21)</f>
        <v>#ERROR</v>
      </c>
    </row>
    <row r="22">
      <c r="A22" s="22" t="str">
        <v>UTILIDAD ANTES DE IMPUESTOS</v>
      </c>
      <c r="B22" s="2" t="str">
        <v>kUSD</v>
      </c>
      <c r="C22" s="21">
        <f>=(C$7-C$21)</f>
        <v>-234.565</v>
      </c>
      <c r="D22" s="21">
        <f>=(D$7-D$21)</f>
        <v>369.18499999999995</v>
      </c>
      <c r="E22" s="21">
        <f>=(E$7-E$21)</f>
        <v>418.75947499999995</v>
      </c>
      <c r="F22" s="21">
        <f>=(F$7-F$21)</f>
        <v>476.9884045924998</v>
      </c>
      <c r="G22" s="21">
        <f>=(G$7-G$21)</f>
        <v>539.3662950137489</v>
      </c>
      <c r="H22" s="21">
        <f>=(H$7-H$21)</f>
        <v>606.2097220203492</v>
      </c>
      <c r="I22" s="21">
        <f>=(I$7-I$21)</f>
        <v>677.8589454127276</v>
      </c>
      <c r="J22" s="21">
        <f>=(J$7-J$21)</f>
        <v>754.6796378846266</v>
      </c>
      <c r="K22" s="21">
        <f>=(K$7-K$21)</f>
        <v>832.2647359126809</v>
      </c>
      <c r="L22" s="21">
        <f>=(L$7-L$21)</f>
        <v>915.8364208804771</v>
      </c>
      <c r="M22" s="21">
        <f>=(M$7-M$21)</f>
        <v>1005.8482391373839</v>
      </c>
      <c r="N22" s="21" t="str">
        <f>=SUM(C22:M22)</f>
        <v>#ERROR</v>
      </c>
    </row>
    <row r="23">
      <c r="A23" s="2" t="str">
        <v>Impuesto sobre utilidades (regla demostrativa)</v>
      </c>
      <c r="B23" s="2" t="str">
        <v>kUSD</v>
      </c>
      <c r="C23" s="6">
        <f>=MAX(0,(C$22*Parametros!$C$3))</f>
        <v>0</v>
      </c>
      <c r="D23" s="6">
        <f>=MAX(0,(D$22*Parametros!$C$3))</f>
        <v>129.21474999999998</v>
      </c>
      <c r="E23" s="6">
        <f>=MAX(0,(E$22*Parametros!$C$3))</f>
        <v>146.56581624999998</v>
      </c>
      <c r="F23" s="6">
        <f>=MAX(0,(F$22*Parametros!$C$3))</f>
        <v>166.94594160737492</v>
      </c>
      <c r="G23" s="6">
        <f>=MAX(0,(G$22*Parametros!$C$3))</f>
        <v>188.7782032548121</v>
      </c>
      <c r="H23" s="6">
        <f>=MAX(0,(H$22*Parametros!$C$3))</f>
        <v>212.17340270712222</v>
      </c>
      <c r="I23" s="6">
        <f>=MAX(0,(I$22*Parametros!$C$3))</f>
        <v>237.25063089445464</v>
      </c>
      <c r="J23" s="6">
        <f>=MAX(0,(J$22*Parametros!$C$3))</f>
        <v>264.1378732596193</v>
      </c>
      <c r="K23" s="6">
        <f>=MAX(0,(K$22*Parametros!$C$3))</f>
        <v>291.2926575694383</v>
      </c>
      <c r="L23" s="6">
        <f>=MAX(0,(L$22*Parametros!$C$3))</f>
        <v>320.54274730816695</v>
      </c>
      <c r="M23" s="6">
        <f>=MAX(0,(M$22*Parametros!$C$3))</f>
        <v>352.04688369808434</v>
      </c>
      <c r="N23" s="21" t="str">
        <f>=SUM(C23:M23)</f>
        <v>#ERROR</v>
      </c>
    </row>
    <row r="24">
      <c r="A24" s="22" t="str">
        <v>UTILIDAD DESPUÉS DE IMPUESTOS</v>
      </c>
      <c r="B24" s="2" t="str">
        <v>kUSD</v>
      </c>
      <c r="C24" s="21">
        <f>=(C$22-C$23)</f>
        <v>-234.565</v>
      </c>
      <c r="D24" s="21">
        <f>=(D$22-D$23)</f>
        <v>239.97024999999996</v>
      </c>
      <c r="E24" s="21">
        <f>=(E$22-E$23)</f>
        <v>272.19365874999994</v>
      </c>
      <c r="F24" s="21">
        <f>=(F$22-F$23)</f>
        <v>310.04246298512487</v>
      </c>
      <c r="G24" s="21">
        <f>=(G$22-G$23)</f>
        <v>350.5880917589368</v>
      </c>
      <c r="H24" s="21">
        <f>=(H$22-H$23)</f>
        <v>394.03631931322695</v>
      </c>
      <c r="I24" s="21">
        <f>=(I$22-I$23)</f>
        <v>440.608314518273</v>
      </c>
      <c r="J24" s="21">
        <f>=(J$22-J$23)</f>
        <v>490.54176462500726</v>
      </c>
      <c r="K24" s="21">
        <f>=(K$22-K$23)</f>
        <v>540.9720783432426</v>
      </c>
      <c r="L24" s="21">
        <f>=(L$22-L$23)</f>
        <v>595.2936735723101</v>
      </c>
      <c r="M24" s="21">
        <f>=(M$22-M$23)</f>
        <v>653.8013554392995</v>
      </c>
      <c r="N24" s="21" t="str">
        <f>=SUM(C24:M24)</f>
        <v>#ERROR</v>
      </c>
    </row>
    <row r="25">
      <c r="A25" s="22" t="str">
        <v>FLUJO DE CAJA NETO</v>
      </c>
      <c r="B25" s="2" t="str">
        <v>kUSD</v>
      </c>
      <c r="C25" s="21">
        <f>=IF((C$3=0),(-Parametros!$C$2),((C$24+C$17)-C$19))</f>
        <v>-1480</v>
      </c>
      <c r="D25" s="21">
        <f>=IF((D$3=0),(-Parametros!$C$2),((D$24+D$17)-D$19))</f>
        <v>357.09524999999996</v>
      </c>
      <c r="E25" s="21">
        <f>=IF((E$3=0),(-Parametros!$C$2),((E$24+E$17)-E$19))</f>
        <v>329.31865874999994</v>
      </c>
      <c r="F25" s="21">
        <f>=IF((F$3=0),(-Parametros!$C$2),((F$24+F$17)-F$19))</f>
        <v>367.16746298512487</v>
      </c>
      <c r="G25" s="21">
        <f>=IF((G$3=0),(-Parametros!$C$2),((G$24+G$17)-G$19))</f>
        <v>407.7130917589368</v>
      </c>
      <c r="H25" s="21">
        <f>=IF((H$3=0),(-Parametros!$C$2),((H$24+H$17)-H$19))</f>
        <v>451.16131931322695</v>
      </c>
      <c r="I25" s="21">
        <f>=IF((I$3=0),(-Parametros!$C$2),((I$24+I$17)-I$19))</f>
        <v>497.733314518273</v>
      </c>
      <c r="J25" s="21">
        <f>=IF((J$3=0),(-Parametros!$C$2),((J$24+J$17)-J$19))</f>
        <v>607.6667646250073</v>
      </c>
      <c r="K25" s="21">
        <f>=IF((K$3=0),(-Parametros!$C$2),((K$24+K$17)-K$19))</f>
        <v>658.0970783432426</v>
      </c>
      <c r="L25" s="21">
        <f>=IF((L$3=0),(-Parametros!$C$2),((L$24+L$17)-L$19))</f>
        <v>712.4186735723101</v>
      </c>
      <c r="M25" s="21">
        <f>=IF((M$3=0),(-Parametros!$C$2),((M$24+M$17)-M$19))</f>
        <v>770.9263554392995</v>
      </c>
      <c r="N25" s="21" t="str">
        <f>=SUM(C25:M25)</f>
        <v>#ERROR</v>
      </c>
    </row>
    <row r="26">
      <c r="A26" s="22" t="str">
        <v>FLUJO DE CAJA ACUMULADO</v>
      </c>
      <c r="B26" s="2" t="str">
        <v>kUSD</v>
      </c>
      <c r="C26" s="21">
        <f>=IF((C$3=0),C$25,(B$26+C$25))</f>
        <v>-1480</v>
      </c>
      <c r="D26" s="21">
        <f>=IF((D$3=0),D$25,(C$26+D$25))</f>
        <v>-1122.9047500000001</v>
      </c>
      <c r="E26" s="21">
        <f>=IF((E$3=0),E$25,(D$26+E$25))</f>
        <v>-793.5860912500002</v>
      </c>
      <c r="F26" s="21">
        <f>=IF((F$3=0),F$25,(E$26+F$25))</f>
        <v>-426.41862826487534</v>
      </c>
      <c r="G26" s="21">
        <f>=IF((G$3=0),G$25,(F$26+G$25))</f>
        <v>-18.70553650593854</v>
      </c>
      <c r="H26" s="21">
        <f>=IF((H$3=0),H$25,(G$26+H$25))</f>
        <v>432.4557828072884</v>
      </c>
      <c r="I26" s="21">
        <f>=IF((I$3=0),I$25,(H$26+I$25))</f>
        <v>930.1890973255614</v>
      </c>
      <c r="J26" s="21">
        <f>=IF((J$3=0),J$25,(I$26+J$25))</f>
        <v>1537.8558619505689</v>
      </c>
      <c r="K26" s="21">
        <f>=IF((K$3=0),K$25,(J$26+K$25))</f>
        <v>2195.9529402938115</v>
      </c>
      <c r="L26" s="21">
        <f>=IF((L$3=0),L$25,(K$26+L$25))</f>
        <v>2908.3716138661216</v>
      </c>
      <c r="M26" s="21">
        <f>=IF((M$3=0),M$25,(L$26+M$25))</f>
        <v>3679.2979693054212</v>
      </c>
    </row>
    <row r="27">
      <c r="A27" s="2" t="str">
        <v>Saldo pendiente de recuperar</v>
      </c>
      <c r="B27" s="2" t="str">
        <v>kUSD</v>
      </c>
      <c r="C27" s="6">
        <f>=MAX(0,(-C$26))</f>
        <v>1480</v>
      </c>
      <c r="D27" s="6">
        <f>=MAX(0,(-D$26))</f>
        <v>1122.9047500000001</v>
      </c>
      <c r="E27" s="6">
        <f>=MAX(0,(-E$26))</f>
        <v>793.5860912500002</v>
      </c>
      <c r="F27" s="6">
        <f>=MAX(0,(-F$26))</f>
        <v>426.41862826487534</v>
      </c>
      <c r="G27" s="6">
        <f>=MAX(0,(-G$26))</f>
        <v>18.70553650593854</v>
      </c>
      <c r="H27" s="6">
        <f>=MAX(0,(-H$26))</f>
        <v>0</v>
      </c>
      <c r="I27" s="6">
        <f>=MAX(0,(-I$26))</f>
        <v>0</v>
      </c>
      <c r="J27" s="6">
        <f>=MAX(0,(-J$26))</f>
        <v>0</v>
      </c>
      <c r="K27" s="6">
        <f>=MAX(0,(-K$26))</f>
        <v>0</v>
      </c>
      <c r="L27" s="6">
        <f>=MAX(0,(-L$26))</f>
        <v>0</v>
      </c>
      <c r="M27" s="6">
        <f>=MAX(0,(-M$26))</f>
        <v>0</v>
      </c>
      <c r="N27" s="21" t="str">
        <f>=SUM(C27:M27)</f>
        <v>#ERROR</v>
      </c>
    </row>
  </sheetData>
  <ignoredErrors>
    <ignoredError numberStoredAsText="1" sqref="A1:N27"/>
  </ignoredErrors>
</worksheet>
</file>

<file path=xl/worksheets/sheet10.xml><?xml version="1.0" encoding="utf-8"?>
<worksheet xmlns="http://schemas.openxmlformats.org/spreadsheetml/2006/main" xmlns:r="http://schemas.openxmlformats.org/officeDocument/2006/relationships">
  <dimension ref="A1:L11"/>
  <sheetViews>
    <sheetView workbookViewId="0"/>
  </sheetViews>
  <cols>
    <col min="1" max="1" width="46.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s>
  <sheetData>
    <row r="1">
      <c r="A1" s="3" t="str">
        <v>Flujos de caja y recuperación (4.7)</v>
      </c>
    </row>
    <row r="3">
      <c r="A3" s="25" t="str">
        <v>Concepto</v>
      </c>
      <c r="B3" s="25">
        <v>0</v>
      </c>
      <c r="C3" s="25">
        <v>1</v>
      </c>
      <c r="D3" s="25">
        <v>2</v>
      </c>
      <c r="E3" s="25">
        <v>3</v>
      </c>
      <c r="F3" s="25">
        <v>4</v>
      </c>
      <c r="G3" s="25">
        <v>5</v>
      </c>
      <c r="H3" s="25">
        <v>6</v>
      </c>
      <c r="I3" s="25">
        <v>7</v>
      </c>
      <c r="J3" s="25">
        <v>8</v>
      </c>
      <c r="K3" s="25">
        <v>9</v>
      </c>
      <c r="L3" s="25">
        <v>10</v>
      </c>
    </row>
    <row r="4">
      <c r="A4" s="22" t="str">
        <v>Flujo de caja neto</v>
      </c>
      <c r="B4" s="6">
        <f>=Proyecciones!C$25</f>
        <v>-1480</v>
      </c>
      <c r="C4" s="6">
        <f>=Proyecciones!D$25</f>
        <v>357.09524999999996</v>
      </c>
      <c r="D4" s="6">
        <f>=Proyecciones!E$25</f>
        <v>329.31865874999994</v>
      </c>
      <c r="E4" s="6">
        <f>=Proyecciones!F$25</f>
        <v>367.16746298512487</v>
      </c>
      <c r="F4" s="6">
        <f>=Proyecciones!G$25</f>
        <v>407.7130917589368</v>
      </c>
      <c r="G4" s="6">
        <f>=Proyecciones!H$25</f>
        <v>451.16131931322695</v>
      </c>
      <c r="H4" s="6">
        <f>=Proyecciones!I$25</f>
        <v>497.733314518273</v>
      </c>
      <c r="I4" s="6">
        <f>=Proyecciones!J$25</f>
        <v>607.6667646250073</v>
      </c>
      <c r="J4" s="6">
        <f>=Proyecciones!K$25</f>
        <v>658.0970783432426</v>
      </c>
      <c r="K4" s="6">
        <f>=Proyecciones!L$25</f>
        <v>712.4186735723101</v>
      </c>
      <c r="L4" s="6">
        <f>=Proyecciones!M$25</f>
        <v>770.9263554392995</v>
      </c>
    </row>
    <row r="5">
      <c r="A5" s="22" t="str">
        <v>Flujo de caja acumulado</v>
      </c>
      <c r="B5" s="6">
        <f>=Proyecciones!C$26</f>
        <v>-1480</v>
      </c>
      <c r="C5" s="6">
        <f>=Proyecciones!D$26</f>
        <v>-1122.9047500000001</v>
      </c>
      <c r="D5" s="6">
        <f>=Proyecciones!E$26</f>
        <v>-793.5860912500002</v>
      </c>
      <c r="E5" s="6">
        <f>=Proyecciones!F$26</f>
        <v>-426.41862826487534</v>
      </c>
      <c r="F5" s="6">
        <f>=Proyecciones!G$26</f>
        <v>-18.70553650593854</v>
      </c>
      <c r="G5" s="6">
        <f>=Proyecciones!H$26</f>
        <v>432.4557828072884</v>
      </c>
      <c r="H5" s="6">
        <f>=Proyecciones!I$26</f>
        <v>930.1890973255614</v>
      </c>
      <c r="I5" s="6">
        <f>=Proyecciones!J$26</f>
        <v>1537.8558619505689</v>
      </c>
      <c r="J5" s="6">
        <f>=Proyecciones!K$26</f>
        <v>2195.9529402938115</v>
      </c>
      <c r="K5" s="6">
        <f>=Proyecciones!L$26</f>
        <v>2908.3716138661216</v>
      </c>
      <c r="L5" s="6">
        <f>=Proyecciones!M$26</f>
        <v>3679.2979693054212</v>
      </c>
    </row>
    <row r="6">
      <c r="A6" s="22" t="str">
        <v>Saldo pendiente de recuperar</v>
      </c>
      <c r="B6" s="6">
        <f>=Proyecciones!C$27</f>
        <v>1480</v>
      </c>
      <c r="C6" s="6">
        <f>=Proyecciones!D$27</f>
        <v>1122.9047500000001</v>
      </c>
      <c r="D6" s="6">
        <f>=Proyecciones!E$27</f>
        <v>793.5860912500002</v>
      </c>
      <c r="E6" s="6">
        <f>=Proyecciones!F$27</f>
        <v>426.41862826487534</v>
      </c>
      <c r="F6" s="6">
        <f>=Proyecciones!G$27</f>
        <v>18.70553650593854</v>
      </c>
      <c r="G6" s="6">
        <f>=Proyecciones!H$27</f>
        <v>0</v>
      </c>
      <c r="H6" s="6">
        <f>=Proyecciones!I$27</f>
        <v>0</v>
      </c>
      <c r="I6" s="6">
        <f>=Proyecciones!J$27</f>
        <v>0</v>
      </c>
      <c r="J6" s="6">
        <f>=Proyecciones!K$27</f>
        <v>0</v>
      </c>
      <c r="K6" s="6">
        <f>=Proyecciones!L$27</f>
        <v>0</v>
      </c>
      <c r="L6" s="6">
        <f>=Proyecciones!M$27</f>
        <v>0</v>
      </c>
    </row>
    <row r="8">
      <c r="A8" s="2" t="str">
        <v>Período de recuperación (interpolación lineal del flujo acumulado):</v>
      </c>
      <c r="B8" s="12">
        <v>4.041460860462091</v>
      </c>
    </row>
    <row r="9">
      <c r="A9" s="7" t="str">
        <v>Método: año previo al cruce + |acumulado previo| / (acumulado actual − acumulado previo). Exportado como valor documentado; la parte recurrente (acumulado) sí es fórmula en la hoja Proyecciones.</v>
      </c>
    </row>
    <row r="11">
      <c r="A11" s="9" t="str">
        <v>ADVERTENCIA: ejemplo ilustrativo con datos ficticios.</v>
      </c>
    </row>
  </sheetData>
  <ignoredErrors>
    <ignoredError numberStoredAsText="1" sqref="A1:L11"/>
  </ignoredErrors>
</worksheet>
</file>

<file path=xl/worksheets/sheet11.xml><?xml version="1.0" encoding="utf-8"?>
<worksheet xmlns="http://schemas.openxmlformats.org/spreadsheetml/2006/main" xmlns:r="http://schemas.openxmlformats.org/officeDocument/2006/relationships">
  <dimension ref="A1:M12"/>
  <sheetViews>
    <sheetView workbookViewId="0"/>
  </sheetViews>
  <cols>
    <col min="1" max="1" width="40.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 min="13" max="13" width="12.83203125" customWidth="1"/>
  </cols>
  <sheetData>
    <row r="1">
      <c r="A1" s="3" t="str">
        <v>Beneficios directos al país (4.11) — miles de USD por año</v>
      </c>
    </row>
    <row r="3">
      <c r="A3" s="25" t="str">
        <v>Concepto</v>
      </c>
      <c r="B3" s="25">
        <v>0</v>
      </c>
      <c r="C3" s="25">
        <v>1</v>
      </c>
      <c r="D3" s="25">
        <v>2</v>
      </c>
      <c r="E3" s="25">
        <v>3</v>
      </c>
      <c r="F3" s="25">
        <v>4</v>
      </c>
      <c r="G3" s="25">
        <v>5</v>
      </c>
      <c r="H3" s="25">
        <v>6</v>
      </c>
      <c r="I3" s="25">
        <v>7</v>
      </c>
      <c r="J3" s="25">
        <v>8</v>
      </c>
      <c r="K3" s="25">
        <v>9</v>
      </c>
      <c r="L3" s="25">
        <v>10</v>
      </c>
      <c r="M3" s="25" t="str">
        <v>Total</v>
      </c>
    </row>
    <row r="4">
      <c r="A4" s="2" t="str">
        <v>Impuesto sobre utilidades</v>
      </c>
      <c r="B4" s="6">
        <f>=Proyecciones!B$23</f>
        <v>0</v>
      </c>
      <c r="C4" s="6">
        <f>=Proyecciones!C$23</f>
        <v>129.21474999999998</v>
      </c>
      <c r="D4" s="6">
        <f>=Proyecciones!D$23</f>
        <v>146.56581624999998</v>
      </c>
      <c r="E4" s="6">
        <f>=Proyecciones!E$23</f>
        <v>166.94594160737492</v>
      </c>
      <c r="F4" s="6">
        <f>=Proyecciones!F$23</f>
        <v>188.7782032548121</v>
      </c>
      <c r="G4" s="6">
        <f>=Proyecciones!G$23</f>
        <v>212.17340270712222</v>
      </c>
      <c r="H4" s="6">
        <f>=Proyecciones!H$23</f>
        <v>237.25063089445464</v>
      </c>
      <c r="I4" s="6">
        <f>=Proyecciones!I$23</f>
        <v>264.1378732596193</v>
      </c>
      <c r="J4" s="6">
        <f>=Proyecciones!J$23</f>
        <v>291.2926575694383</v>
      </c>
      <c r="K4" s="6">
        <f>=Proyecciones!K$23</f>
        <v>320.54274730816695</v>
      </c>
      <c r="L4" s="6">
        <f>=Proyecciones!L$23</f>
        <v>352.04688369808434</v>
      </c>
      <c r="M4" s="21">
        <f>=SUM(B4:M4)</f>
        <v>2308.948906549073</v>
      </c>
    </row>
    <row r="5">
      <c r="A5" s="2" t="str">
        <v>Otros impuestos, tasas y contribuciones</v>
      </c>
      <c r="B5" s="6">
        <f>=Parametros!$C$24</f>
        <v>5</v>
      </c>
      <c r="C5" s="6">
        <f>=Parametros!$C$24</f>
        <v>5</v>
      </c>
      <c r="D5" s="6">
        <f>=Parametros!$C$24</f>
        <v>5</v>
      </c>
      <c r="E5" s="6">
        <f>=Parametros!$C$24</f>
        <v>5</v>
      </c>
      <c r="F5" s="6">
        <f>=Parametros!$C$24</f>
        <v>5</v>
      </c>
      <c r="G5" s="6">
        <f>=Parametros!$C$24</f>
        <v>5</v>
      </c>
      <c r="H5" s="6">
        <f>=Parametros!$C$24</f>
        <v>5</v>
      </c>
      <c r="I5" s="6">
        <f>=Parametros!$C$24</f>
        <v>5</v>
      </c>
      <c r="J5" s="6">
        <f>=Parametros!$C$24</f>
        <v>5</v>
      </c>
      <c r="K5" s="6">
        <f>=Parametros!$C$24</f>
        <v>5</v>
      </c>
      <c r="L5" s="6">
        <f>=Parametros!$C$24</f>
        <v>5</v>
      </c>
      <c r="M5" s="21">
        <f>=SUM(B5:M5)</f>
        <v>55</v>
      </c>
    </row>
    <row r="6">
      <c r="A6" s="2" t="str">
        <v>Dividendos de la parte cubana</v>
      </c>
      <c r="B6" s="6">
        <f>=Proyecciones!B$-1</f>
        <v>0</v>
      </c>
      <c r="C6" s="6">
        <f>=Proyecciones!C$-1</f>
        <v>47.994049999999994</v>
      </c>
      <c r="D6" s="6">
        <f>=Proyecciones!D$-1</f>
        <v>54.43873174999999</v>
      </c>
      <c r="E6" s="6">
        <f>=Proyecciones!E$-1</f>
        <v>62.008492597024976</v>
      </c>
      <c r="F6" s="6">
        <f>=Proyecciones!F$-1</f>
        <v>70.11761835178736</v>
      </c>
      <c r="G6" s="6">
        <f>=Proyecciones!G$-1</f>
        <v>78.8072638626454</v>
      </c>
      <c r="H6" s="6">
        <f>=Proyecciones!H$-1</f>
        <v>88.12166290365461</v>
      </c>
      <c r="I6" s="6">
        <f>=Proyecciones!I$-1</f>
        <v>98.10835292500145</v>
      </c>
      <c r="J6" s="6">
        <f>=Proyecciones!J$-1</f>
        <v>108.19441566864853</v>
      </c>
      <c r="K6" s="6">
        <f>=Proyecciones!K$-1</f>
        <v>119.05873471446203</v>
      </c>
      <c r="L6" s="6">
        <f>=Proyecciones!L$-1</f>
        <v>130.7602710878599</v>
      </c>
      <c r="M6" s="21">
        <f>=SUM(B6:M6)</f>
        <v>857.6095938610842</v>
      </c>
    </row>
    <row r="7">
      <c r="A7" s="2" t="str">
        <v>Aranceles</v>
      </c>
      <c r="B7" s="6">
        <f>=Parametros!$C$23</f>
        <v>8</v>
      </c>
      <c r="C7" s="6">
        <f>=Parametros!$C$23</f>
        <v>8</v>
      </c>
      <c r="D7" s="6">
        <f>=Parametros!$C$23</f>
        <v>8</v>
      </c>
      <c r="E7" s="6">
        <f>=Parametros!$C$23</f>
        <v>8</v>
      </c>
      <c r="F7" s="6">
        <f>=Parametros!$C$23</f>
        <v>8</v>
      </c>
      <c r="G7" s="6">
        <f>=Parametros!$C$23</f>
        <v>8</v>
      </c>
      <c r="H7" s="6">
        <f>=Parametros!$C$23</f>
        <v>8</v>
      </c>
      <c r="I7" s="6">
        <f>=Parametros!$C$23</f>
        <v>8</v>
      </c>
      <c r="J7" s="6">
        <f>=Parametros!$C$23</f>
        <v>8</v>
      </c>
      <c r="K7" s="6">
        <f>=Parametros!$C$23</f>
        <v>8</v>
      </c>
      <c r="L7" s="6">
        <f>=Parametros!$C$23</f>
        <v>8</v>
      </c>
      <c r="M7" s="21">
        <f>=SUM(B7:M7)</f>
        <v>88</v>
      </c>
    </row>
    <row r="8">
      <c r="A8" s="2" t="str">
        <v>Pagos por la fuerza de trabajo</v>
      </c>
      <c r="B8" s="6">
        <f>=Proyecciones!B$-1</f>
        <v>1.44</v>
      </c>
      <c r="C8" s="6">
        <f>=Proyecciones!C$-1</f>
        <v>38.28</v>
      </c>
      <c r="D8" s="6">
        <f>=Proyecciones!D$-1</f>
        <v>40.194</v>
      </c>
      <c r="E8" s="6">
        <f>=Proyecciones!E$-1</f>
        <v>42.2037</v>
      </c>
      <c r="F8" s="6">
        <f>=Proyecciones!F$-1</f>
        <v>44.313885000000006</v>
      </c>
      <c r="G8" s="6">
        <f>=Proyecciones!G$-1</f>
        <v>46.52957925</v>
      </c>
      <c r="H8" s="6">
        <f>=Proyecciones!H$-1</f>
        <v>48.85605821250001</v>
      </c>
      <c r="I8" s="6">
        <f>=Proyecciones!I$-1</f>
        <v>51.29886112312499</v>
      </c>
      <c r="J8" s="6">
        <f>=Proyecciones!J$-1</f>
        <v>53.86380417928126</v>
      </c>
      <c r="K8" s="6">
        <f>=Proyecciones!K$-1</f>
        <v>56.556994388245315</v>
      </c>
      <c r="L8" s="6">
        <f>=Proyecciones!L$-1</f>
        <v>59.384844107657585</v>
      </c>
      <c r="M8" s="21">
        <f>=SUM(B8:M8)</f>
        <v>482.9217262608091</v>
      </c>
    </row>
    <row r="9">
      <c r="A9" s="2" t="str">
        <v>Canon</v>
      </c>
      <c r="B9" s="6">
        <f>=Parametros!$C$18</f>
        <v>30</v>
      </c>
      <c r="C9" s="6">
        <f>=Parametros!$C$18</f>
        <v>30</v>
      </c>
      <c r="D9" s="6">
        <f>=Parametros!$C$18</f>
        <v>30</v>
      </c>
      <c r="E9" s="6">
        <f>=Parametros!$C$18</f>
        <v>30</v>
      </c>
      <c r="F9" s="6">
        <f>=Parametros!$C$18</f>
        <v>30</v>
      </c>
      <c r="G9" s="6">
        <f>=Parametros!$C$18</f>
        <v>30</v>
      </c>
      <c r="H9" s="6">
        <f>=Parametros!$C$18</f>
        <v>30</v>
      </c>
      <c r="I9" s="6">
        <f>=Parametros!$C$18</f>
        <v>30</v>
      </c>
      <c r="J9" s="6">
        <f>=Parametros!$C$18</f>
        <v>30</v>
      </c>
      <c r="K9" s="6">
        <f>=Parametros!$C$18</f>
        <v>30</v>
      </c>
      <c r="L9" s="6">
        <f>=Parametros!$C$18</f>
        <v>30</v>
      </c>
      <c r="M9" s="21">
        <f>=SUM(B9:M9)</f>
        <v>330</v>
      </c>
    </row>
    <row r="10">
      <c r="A10" s="2" t="str">
        <v>Royalties</v>
      </c>
      <c r="B10" s="6">
        <f>=Parametros!$C$25</f>
        <v>0</v>
      </c>
      <c r="C10" s="6">
        <f>=Parametros!$C$25</f>
        <v>0</v>
      </c>
      <c r="D10" s="6">
        <f>=Parametros!$C$25</f>
        <v>0</v>
      </c>
      <c r="E10" s="6">
        <f>=Parametros!$C$25</f>
        <v>0</v>
      </c>
      <c r="F10" s="6">
        <f>=Parametros!$C$25</f>
        <v>0</v>
      </c>
      <c r="G10" s="6">
        <f>=Parametros!$C$25</f>
        <v>0</v>
      </c>
      <c r="H10" s="6">
        <f>=Parametros!$C$25</f>
        <v>0</v>
      </c>
      <c r="I10" s="6">
        <f>=Parametros!$C$25</f>
        <v>0</v>
      </c>
      <c r="J10" s="6">
        <f>=Parametros!$C$25</f>
        <v>0</v>
      </c>
      <c r="K10" s="6">
        <f>=Parametros!$C$25</f>
        <v>0</v>
      </c>
      <c r="L10" s="6">
        <f>=Parametros!$C$25</f>
        <v>0</v>
      </c>
      <c r="M10" s="21">
        <f>=SUM(B10:M10)</f>
        <v>0</v>
      </c>
    </row>
    <row r="11">
      <c r="A11" s="2" t="str">
        <v>Otros ingresos</v>
      </c>
      <c r="B11" s="6">
        <f>=Parametros!$C$26</f>
        <v>0</v>
      </c>
      <c r="C11" s="6">
        <f>=Parametros!$C$26</f>
        <v>0</v>
      </c>
      <c r="D11" s="6">
        <f>=Parametros!$C$26</f>
        <v>0</v>
      </c>
      <c r="E11" s="6">
        <f>=Parametros!$C$26</f>
        <v>0</v>
      </c>
      <c r="F11" s="6">
        <f>=Parametros!$C$26</f>
        <v>0</v>
      </c>
      <c r="G11" s="6">
        <f>=Parametros!$C$26</f>
        <v>0</v>
      </c>
      <c r="H11" s="6">
        <f>=Parametros!$C$26</f>
        <v>0</v>
      </c>
      <c r="I11" s="6">
        <f>=Parametros!$C$26</f>
        <v>0</v>
      </c>
      <c r="J11" s="6">
        <f>=Parametros!$C$26</f>
        <v>0</v>
      </c>
      <c r="K11" s="6">
        <f>=Parametros!$C$26</f>
        <v>0</v>
      </c>
      <c r="L11" s="6">
        <f>=Parametros!$C$26</f>
        <v>0</v>
      </c>
      <c r="M11" s="21">
        <f>=SUM(B11:M11)</f>
        <v>0</v>
      </c>
    </row>
    <row r="12">
      <c r="A12" s="22" t="str">
        <v>TOTAL BENEFICIOS DIRECTOS AL PAÍS</v>
      </c>
      <c r="B12" s="21">
        <f>=SUM(B4:B11)</f>
        <v>44.44</v>
      </c>
      <c r="C12" s="21">
        <f>=SUM(C4:C11)</f>
        <v>258.48879999999997</v>
      </c>
      <c r="D12" s="21">
        <f>=SUM(D4:D11)</f>
        <v>284.19854799999996</v>
      </c>
      <c r="E12" s="21">
        <f>=SUM(E4:E11)</f>
        <v>314.15813420439986</v>
      </c>
      <c r="F12" s="21">
        <f>=SUM(F4:F11)</f>
        <v>346.20970660659947</v>
      </c>
      <c r="G12" s="21">
        <f>=SUM(G4:G11)</f>
        <v>380.5102458197676</v>
      </c>
      <c r="H12" s="21">
        <f>=SUM(H4:H11)</f>
        <v>417.2283520106092</v>
      </c>
      <c r="I12" s="21">
        <f>=SUM(I4:I11)</f>
        <v>456.54508730774575</v>
      </c>
      <c r="J12" s="21">
        <f>=SUM(J4:J11)</f>
        <v>496.3508774173681</v>
      </c>
      <c r="K12" s="21">
        <f>=SUM(K4:K11)</f>
        <v>539.1584764108743</v>
      </c>
      <c r="L12" s="21">
        <f>=SUM(L4:L11)</f>
        <v>585.1919988936019</v>
      </c>
      <c r="M12" s="21">
        <f>=SUM(B12:M12)</f>
        <v>4078.040226670966</v>
      </c>
    </row>
  </sheetData>
  <ignoredErrors>
    <ignoredError numberStoredAsText="1" sqref="A1:M12"/>
  </ignoredErrors>
</worksheet>
</file>

<file path=xl/worksheets/sheet12.xml><?xml version="1.0" encoding="utf-8"?>
<worksheet xmlns="http://schemas.openxmlformats.org/spreadsheetml/2006/main" xmlns:r="http://schemas.openxmlformats.org/officeDocument/2006/relationships">
  <dimension ref="A1:C12"/>
  <sheetViews>
    <sheetView workbookViewId="0"/>
  </sheetViews>
  <cols>
    <col min="1" max="1" width="40.83203125" customWidth="1"/>
    <col min="2" max="2" width="12.83203125" customWidth="1"/>
    <col min="3" max="3" width="24.83203125" customWidth="1"/>
  </cols>
  <sheetData>
    <row r="1">
      <c r="A1" s="3" t="str">
        <v>Fuerza de trabajo (4.9) — resumen</v>
      </c>
    </row>
    <row r="3">
      <c r="A3" s="25" t="str">
        <v>Categoría</v>
      </c>
      <c r="B3" s="25" t="str">
        <v>Cantidad</v>
      </c>
      <c r="C3" s="25" t="str">
        <v>Salario promedio anual (CUP)</v>
      </c>
    </row>
    <row r="4">
      <c r="A4" s="2" t="str">
        <v>cubano_directivo</v>
      </c>
      <c r="B4" s="13">
        <f>=SUMIFS(Personal!$D$4:$D$54,Personal!$C$4:$C$54,"cubano_directivo",Personal!$A$4:$A$54,"&gt;0")</f>
        <v>3</v>
      </c>
      <c r="C4" s="14">
        <v>312000</v>
      </c>
    </row>
    <row r="5">
      <c r="A5" s="2" t="str">
        <v>cubano_otro</v>
      </c>
      <c r="B5" s="13">
        <f>=SUMIFS(Personal!$D$4:$D$54,Personal!$C$4:$C$54,"cubano_otro",Personal!$A$4:$A$54,"&gt;0")</f>
        <v>23</v>
      </c>
      <c r="C5" s="14">
        <v>207652.1739130435</v>
      </c>
    </row>
    <row r="6">
      <c r="A6" s="2" t="str">
        <v>extranjero_directivo</v>
      </c>
      <c r="B6" s="13">
        <f>=SUMIFS(Personal!$D$4:$D$54,Personal!$C$4:$C$54,"extranjero_directivo",Personal!$A$4:$A$54,"&gt;0")</f>
        <v>1</v>
      </c>
      <c r="C6" s="14">
        <v>9600000</v>
      </c>
    </row>
    <row r="7">
      <c r="A7" s="2" t="str">
        <v>extranjero_otro</v>
      </c>
      <c r="B7" s="13">
        <f>=SUMIFS(Personal!$D$4:$D$54,Personal!$C$4:$C$54,"extranjero_otro",Personal!$A$4:$A$54,"&gt;0")</f>
        <v>0</v>
      </c>
      <c r="C7" s="14">
        <v>0</v>
      </c>
    </row>
    <row r="8">
      <c r="A8" s="22" t="str">
        <v>Total (operación)</v>
      </c>
      <c r="B8" s="26">
        <f>=SUM(B4:B7)</f>
        <v>27</v>
      </c>
    </row>
    <row r="9">
      <c r="A9" s="2" t="str">
        <v>Trabajadores en etapa de montaje (año 0)</v>
      </c>
      <c r="B9" s="13">
        <f>=SUMIFS(Personal!$D$4:$D$54,Personal!$A$4:$A$54,0)</f>
        <v>6</v>
      </c>
    </row>
    <row r="10">
      <c r="A10" s="2" t="str">
        <v>Salario promedio anual ponderado (CUP)</v>
      </c>
      <c r="B10" s="14">
        <v>567111.1111111111</v>
      </c>
    </row>
    <row r="12">
      <c r="A12" s="7" t="str">
        <v>Entidad autorizada a contratar: Entidad empleadora autorizada (supuesto ilustrativo: la parte nacional contratante según la legislación vigente).</v>
      </c>
    </row>
  </sheetData>
  <ignoredErrors>
    <ignoredError numberStoredAsText="1" sqref="A1:C12"/>
  </ignoredErrors>
</worksheet>
</file>

<file path=xl/worksheets/sheet13.xml><?xml version="1.0" encoding="utf-8"?>
<worksheet xmlns="http://schemas.openxmlformats.org/spreadsheetml/2006/main" xmlns:r="http://schemas.openxmlformats.org/officeDocument/2006/relationships">
  <dimension ref="A1:D8"/>
  <sheetViews>
    <sheetView workbookViewId="0"/>
  </sheetViews>
  <cols>
    <col min="1" max="1" width="42.83203125" customWidth="1"/>
    <col min="2" max="2" width="10.83203125" customWidth="1"/>
    <col min="3" max="3" width="10.83203125" customWidth="1"/>
    <col min="4" max="4" width="40.83203125" customWidth="1"/>
  </cols>
  <sheetData>
    <row r="1">
      <c r="A1" s="3" t="str">
        <v>Cronograma inversionista (4.10)</v>
      </c>
    </row>
    <row r="3">
      <c r="A3" s="25" t="str">
        <v>Etapa</v>
      </c>
      <c r="B3" s="25" t="str">
        <v>Inicio</v>
      </c>
      <c r="C3" s="25" t="str">
        <v>Fin</v>
      </c>
      <c r="D3" s="25" t="str">
        <v>Observación</v>
      </c>
    </row>
    <row r="4">
      <c r="A4" s="16" t="str">
        <v>Preinversión y estudios</v>
      </c>
      <c r="B4" s="16" t="str">
        <v>2026-07</v>
      </c>
      <c r="C4" s="16" t="str">
        <v>2026-12</v>
      </c>
      <c r="D4" s="16" t="str">
        <v>Ficticio</v>
      </c>
    </row>
    <row r="5">
      <c r="A5" s="16" t="str">
        <v>Ejecución (adecuación y montaje)</v>
      </c>
      <c r="B5" s="16" t="str">
        <v>2027-01</v>
      </c>
      <c r="C5" s="16" t="str">
        <v>2027-09</v>
      </c>
      <c r="D5" s="16" t="str">
        <v>Ficticio</v>
      </c>
    </row>
    <row r="6">
      <c r="A6" s="16" t="str">
        <v>Desactivación e inicio de explotación</v>
      </c>
      <c r="B6" s="16" t="str">
        <v>2027-08</v>
      </c>
      <c r="C6" s="16" t="str">
        <v>2027-10</v>
      </c>
      <c r="D6" s="16" t="str">
        <v>Ficticio</v>
      </c>
    </row>
    <row r="7">
      <c r="A7" s="16" t="str">
        <v>Pruebas y puesta en marcha</v>
      </c>
      <c r="B7" s="16" t="str">
        <v>2027-09</v>
      </c>
      <c r="C7" s="16" t="str">
        <v>2027-10</v>
      </c>
      <c r="D7" s="16" t="str">
        <v>Ficticio</v>
      </c>
    </row>
    <row r="8">
      <c r="A8" s="16" t="str">
        <v>Operación comercial</v>
      </c>
      <c r="B8" s="16" t="str">
        <v>2027-11</v>
      </c>
      <c r="C8" s="16" t="str">
        <v>2037-10</v>
      </c>
      <c r="D8" s="16" t="str">
        <v>Horizonte de 10 años (ficticio)</v>
      </c>
    </row>
  </sheetData>
  <ignoredErrors>
    <ignoredError numberStoredAsText="1" sqref="A1:D8"/>
  </ignoredErrors>
</worksheet>
</file>

<file path=xl/worksheets/sheet14.xml><?xml version="1.0" encoding="utf-8"?>
<worksheet xmlns="http://schemas.openxmlformats.org/spreadsheetml/2006/main" xmlns:r="http://schemas.openxmlformats.org/officeDocument/2006/relationships">
  <dimension ref="A1:E19"/>
  <sheetViews>
    <sheetView workbookViewId="0"/>
  </sheetViews>
  <cols>
    <col min="1" max="1" width="34.83203125" customWidth="1"/>
    <col min="2" max="2" width="12.83203125" customWidth="1"/>
    <col min="3" max="3" width="12.83203125" customWidth="1"/>
    <col min="4" max="4" width="14.83203125" customWidth="1"/>
    <col min="5" max="5" width="40.83203125" customWidth="1"/>
  </cols>
  <sheetData>
    <row r="1">
      <c r="A1" s="3" t="str">
        <v>Consumos técnicos (4.6)</v>
      </c>
    </row>
    <row r="3">
      <c r="A3" s="25" t="str">
        <v>Concepto</v>
      </c>
      <c r="B3" s="25" t="str">
        <v>Unidad</v>
      </c>
      <c r="C3" s="25" t="str">
        <v>Cantidad</v>
      </c>
      <c r="D3" s="25" t="str">
        <v>Período</v>
      </c>
      <c r="E3" s="25" t="str">
        <v>Observación</v>
      </c>
    </row>
    <row r="4">
      <c r="A4" s="16" t="str">
        <v>Agua potable</v>
      </c>
      <c r="B4" s="16" t="str">
        <v>m³/día</v>
      </c>
      <c r="C4" s="16">
        <v>8</v>
      </c>
      <c r="D4" s="16" t="str">
        <v>Operación</v>
      </c>
      <c r="E4" s="16" t="str">
        <v>Supuesto ficticio</v>
      </c>
    </row>
    <row r="5">
      <c r="A5" s="16" t="str">
        <v>Electricidad</v>
      </c>
      <c r="B5" s="16" t="str">
        <v>kWh/día</v>
      </c>
      <c r="C5" s="16">
        <v>320</v>
      </c>
      <c r="D5" s="16" t="str">
        <v>Operación</v>
      </c>
      <c r="E5" s="16" t="str">
        <v>Supuesto ficticio</v>
      </c>
    </row>
    <row r="6">
      <c r="A6" s="16" t="str">
        <v>Portador energético (respaldo)</v>
      </c>
      <c r="B6" s="16" t="str">
        <v>L/mes</v>
      </c>
      <c r="C6" s="16">
        <v>120</v>
      </c>
      <c r="D6" s="16" t="str">
        <v>Operación</v>
      </c>
      <c r="E6" s="16" t="str">
        <v>Supuesto ficticio</v>
      </c>
    </row>
    <row r="7">
      <c r="A7" s="16" t="str">
        <v>Residuos sólidos asimilables</v>
      </c>
      <c r="B7" s="16" t="str">
        <v>kg/día</v>
      </c>
      <c r="C7" s="16">
        <v>45</v>
      </c>
      <c r="D7" s="16" t="str">
        <v>Operación</v>
      </c>
      <c r="E7" s="16" t="str">
        <v>Supuesto ficticio</v>
      </c>
    </row>
    <row r="8">
      <c r="A8" s="16" t="str">
        <v>Residuos biomédicos (DYMED)</v>
      </c>
      <c r="B8" s="16" t="str">
        <v>kg/mes</v>
      </c>
      <c r="C8" s="16">
        <v>60</v>
      </c>
      <c r="D8" s="16" t="str">
        <v>Operación</v>
      </c>
      <c r="E8" s="16" t="str">
        <v>Supuesto ficticio</v>
      </c>
    </row>
    <row r="10">
      <c r="A10" s="3" t="str">
        <v>Notas técnicas</v>
      </c>
    </row>
    <row r="11">
      <c r="A11" s="2" t="str">
        <v>Caracterización de bienes y servicios</v>
      </c>
      <c r="B11" s="2" t="str">
        <v>Clínica estomatológica integral con 5 gabinetes de atención, 1 laboratorio de prótesis, 1 sala de imagenología dental (2 equipos), área de esterilización central con autoclaves de vacío y compresores dedicados, recepción y administración. Modelo operativo con cita programada y horario extendido (lunes a sábado). Instalación en local existente sujeto a adecuación y montaje (supuesto ilustrativo).</v>
      </c>
    </row>
    <row r="12">
      <c r="A12" s="2" t="str">
        <v>Capacidad instalada</v>
      </c>
      <c r="B12" s="2" t="str">
        <v>5 gabinetes × 6 días/semana × 3 turnos equivalentes; capacidad teórica máxima de cada línea de servicio precargada en la tabla de servicios. La aplicación advierte automáticamente cuando las cantidades proyectadas superan la capacidad instalada.</v>
      </c>
    </row>
    <row r="13">
      <c r="A13" s="2" t="str">
        <v>Plazo para alcanzar los niveles previstos</v>
      </c>
      <c r="B13" s="2" t="str">
        <v>Alcanzar la ocupación plena prevista hacia el tercer año de operación (supuesto ilustrativo con crecimiento del 5 % anual del volumen).</v>
      </c>
    </row>
    <row r="14">
      <c r="A14" s="2" t="str">
        <v>Tecnologías utilizadas</v>
      </c>
      <c r="B14" s="2" t="str">
        <v>Instalación base con equipamiento básico existente (dato ficticio).</v>
      </c>
    </row>
    <row r="15">
      <c r="A15" s="2" t="str">
        <v>Tecnologías a incorporar</v>
      </c>
      <c r="B15" s="2" t="str">
        <v>Radiógrafos digitales panorámicos/periapicales, sillones de última generación, autoclaves de vacío clase B, sistema de gestión clínica digital (historia de salud electrónica) y laboratorio de prótesis CAD/CAM básico (todos supuestos ilustrativos).</v>
      </c>
    </row>
    <row r="16">
      <c r="A16" s="2" t="str">
        <v>Localización</v>
      </c>
      <c r="B16" s="2" t="str">
        <v>Municipio Playa, La Habana, Cuba (dirección ficticia: Calle Ejemplo e/ Ejemplo y Ejemplo, Reparto Ejemplo).</v>
      </c>
    </row>
    <row r="17">
      <c r="A17" s="2" t="str">
        <v>Infraestructura requerida</v>
      </c>
      <c r="B17" s="2" t="str">
        <v>Red eléctrica, agua, alcantarillado, comunicaciones y acceso vial disponibles en la ubicación (supuesto ilustrativo).</v>
      </c>
    </row>
    <row r="18">
      <c r="A18" s="2" t="str">
        <v>Terrenos e instalaciones</v>
      </c>
      <c r="B18" s="2" t="str">
        <v>Local en régimen de usufructo/arrendamiento estatal con canon anual parametrizado (supuesto ficticio de 30 kUSD/año).</v>
      </c>
    </row>
    <row r="19">
      <c r="A19" s="2" t="str">
        <v>Necesidades de construcción</v>
      </c>
      <c r="B19" s="2" t="str">
        <v>Adecuación de 450 m²: climatización, red de aire comprimido, aspiración centralizada, área de esterilización y laboratorio (monto ilustrativo en la tabla de inversiones).</v>
      </c>
    </row>
  </sheetData>
  <ignoredErrors>
    <ignoredError numberStoredAsText="1" sqref="A1:E19"/>
  </ignoredErrors>
</worksheet>
</file>

<file path=xl/worksheets/sheet15.xml><?xml version="1.0" encoding="utf-8"?>
<worksheet xmlns="http://schemas.openxmlformats.org/spreadsheetml/2006/main" xmlns:r="http://schemas.openxmlformats.org/officeDocument/2006/relationships">
  <dimension ref="A1:B14"/>
  <sheetViews>
    <sheetView workbookViewId="0"/>
  </sheetViews>
  <cols>
    <col min="1" max="1" width="40.83203125" customWidth="1"/>
    <col min="2" max="2" width="90.83203125" customWidth="1"/>
  </cols>
  <sheetData>
    <row r="1">
      <c r="A1" s="3" t="str">
        <v>Análisis de mercado (4.8)</v>
      </c>
    </row>
    <row r="3">
      <c r="A3" s="25" t="str">
        <v>Caracterización de productos y servicios</v>
      </c>
      <c r="B3" s="2" t="str">
        <v>Servicios estomatológicos de calidad con estándares internacionales. Descripción ilustrativa para la demostración: la caracterización real exige estudios de mercado primary.</v>
      </c>
    </row>
    <row r="4">
      <c r="A4" s="25" t="str">
        <v>Requisitos regulatorios y registros</v>
      </c>
      <c r="B4" s="2" t="str">
        <v>Licencia sanitaria (MINSAP), registro de la empresa mixta (ONEI/Registro Mercantil), autorizaciones ambientales y de residuos biomédicos; requisitos de inversión extranjera (CEPEC/DAMN según corresponda). Lista ilustrativa: verificar la normativa aplicable.</v>
      </c>
    </row>
    <row r="5">
      <c r="A5" s="25" t="str">
        <v>Materias primas y materiales auxiliares</v>
      </c>
      <c r="B5" s="2" t="str">
        <v>Materiales odontológicos y consumibles: resinas, anestésicos, aleaciones, implantes, insumos de bioseguridad y esterilización (detalle ficticio).</v>
      </c>
    </row>
    <row r="6">
      <c r="A6" s="25" t="str">
        <v>Fuentes y ubicación de suministros</v>
      </c>
      <c r="B6" s="2" t="str">
        <v>Importación vía proveedores internacionales certificados (supuesto ficticio); evaluar proveedores nacionales donde exista oferta.</v>
      </c>
    </row>
    <row r="7">
      <c r="A7" s="25" t="str">
        <v>Consumo estimado</v>
      </c>
      <c r="B7" s="2" t="str">
        <v>Costo variable unitario por servicio precargado en la tabla de servicios (supuestos ficticios).</v>
      </c>
    </row>
    <row r="8">
      <c r="A8" s="25" t="str">
        <v>Demanda aparente</v>
      </c>
      <c r="B8" s="2" t="str">
        <v>Población servida estimada (ficticia): 240 000 habitantes; prevalencia estimada de necesidad de tratamiento: 60 % de adultos. Estimación ilustrativa no verificada.</v>
      </c>
    </row>
    <row r="9">
      <c r="A9" s="25" t="str">
        <v>Demanda solvente</v>
      </c>
      <c r="B9" s="2" t="str">
        <v>Estimación ficticia: 38 000 personas con capacidad de pago en el área de influencia; captación objetivo del año 1: ~4 800 pacientes (~12,6 %). Supuesto no verificado.</v>
      </c>
    </row>
    <row r="10">
      <c r="A10" s="25" t="str">
        <v>Método de estimación</v>
      </c>
      <c r="B10" s="2" t="str">
        <v>Método ilustrativo: estimación por referencias públicas y supuestos de captación. La aplicación exige documentar fuentes y fechas; no simula investigación de mercado real.</v>
      </c>
    </row>
    <row r="11">
      <c r="A11" s="25" t="str">
        <v>Fuentes consultadas (con fecha)</v>
      </c>
      <c r="B11" s="2" t="str">
        <v>Fuentes ficticias de demostración: ONEI (proyecciones demográficas ilustrativas), referencias sectoriales no verificadas.</v>
      </c>
    </row>
    <row r="12">
      <c r="A12" s="25" t="str">
        <v>Comercialización: exportaciones</v>
      </c>
      <c r="B12" s="2" t="str">
        <v>Atención a pacientes internacionales (turismo de salud): supuesto ilustrativo, crecimiento a partir del tercer año, incluido dentro de los precios en USD de la tabla de servicios.</v>
      </c>
    </row>
    <row r="13">
      <c r="A13" s="25" t="str">
        <v>Comercialización: divisas</v>
      </c>
      <c r="B13" s="2" t="str">
        <v>Los servicios se facturan en divisas según la política establecida (supuesto ficticio).</v>
      </c>
    </row>
    <row r="14">
      <c r="A14" s="25" t="str">
        <v>Comercialización: moneda nacional</v>
      </c>
      <c r="B14" s="2" t="str">
        <v>Se contempla un componente de venta en moneda nacional a población nacional con capacidad de pago (supuesto ficticio a definir).</v>
      </c>
    </row>
  </sheetData>
  <ignoredErrors>
    <ignoredError numberStoredAsText="1" sqref="A1:B14"/>
  </ignoredErrors>
</worksheet>
</file>

<file path=xl/worksheets/sheet16.xml><?xml version="1.0" encoding="utf-8"?>
<worksheet xmlns="http://schemas.openxmlformats.org/spreadsheetml/2006/main" xmlns:r="http://schemas.openxmlformats.org/officeDocument/2006/relationships">
  <dimension ref="A1:B30"/>
  <sheetViews>
    <sheetView workbookViewId="0"/>
  </sheetViews>
  <cols>
    <col min="1" max="1" width="40.83203125" customWidth="1"/>
    <col min="2" max="2" width="90.83203125" customWidth="1"/>
  </cols>
  <sheetData>
    <row r="1">
      <c r="A1" s="3" t="str">
        <v>Descripción del negocio (4.1, 4.2, 4.5, 4.12)</v>
      </c>
    </row>
    <row r="3">
      <c r="A3" s="25" t="str">
        <v>Elaborado por</v>
      </c>
      <c r="B3" s="2" t="str">
        <v>«Nombre y apellidos de quien elabora»</v>
      </c>
    </row>
    <row r="4">
      <c r="A4" s="25" t="str">
        <v>Cargo</v>
      </c>
      <c r="B4" s="2" t="str">
        <v>Especialista de inversiones (ejemplo ilustrativo)</v>
      </c>
    </row>
    <row r="5">
      <c r="A5" s="25" t="str">
        <v>Fecha</v>
      </c>
      <c r="B5" s="2" t="str">
        <v>2026-10-25</v>
      </c>
    </row>
    <row r="6">
      <c r="A6" s="25" t="str">
        <v>Declaración de responsabilidad</v>
      </c>
      <c r="B6" s="2" t="str">
        <v>Aceptada</v>
      </c>
    </row>
    <row r="7">
      <c r="A7" s="25" t="str">
        <v>Nombre del proyecto</v>
      </c>
      <c r="B7" s="2" t="str">
        <v>Clínica Estomatológica «Sonrisa Habana»</v>
      </c>
    </row>
    <row r="8">
      <c r="A8" s="25" t="str">
        <v>Denominación de la propuesta</v>
      </c>
      <c r="B8" s="2" t="str">
        <v>Constitución de una empresa mixta para la prestación de servicios estomatológicos integrales en La Habana</v>
      </c>
    </row>
    <row r="9">
      <c r="A9" s="25" t="str">
        <v>Modalidad de inversión</v>
      </c>
      <c r="B9" s="2" t="str">
        <v>Empresa Mixta (Ley 118/2014, Decreto-Ley 335/2018)</v>
      </c>
    </row>
    <row r="10">
      <c r="A10" s="25" t="str">
        <v>Objeto social o contractual</v>
      </c>
      <c r="B10" s="2" t="str">
        <v>Prestación de servicios estomatológicos integrales: consulta y diagnóstico, odontología preventiva, restauraciones, endodoncia, periodoncia, cirugía oral, prótesis estomatológica, ortodoncia e imagenología dental; así como servicios de laboratorio de prótesis y atención a pacientes nacionales e internacionales.</v>
      </c>
    </row>
    <row r="11">
      <c r="A11" s="25" t="str">
        <v>Plazo de vigencia</v>
      </c>
      <c r="B11" s="2" t="str">
        <v>20 años renovables (supuesto ilustrativo)</v>
      </c>
    </row>
    <row r="12">
      <c r="A12" s="25" t="str">
        <v>Fundamentación y propuesta de valor</v>
      </c>
      <c r="B12" s="2" t="str">
        <v>La propuesta responde a la demanda insatisfecha de servicios estomatológicos especializados con estándares internacionales, tanto para la población nacional con capacidad de pago como para pacientes internacionales. La clínica incorpora tecnología de diagnóstico digital, esterilización de última generación y protocolos de bioseguridad, con transferencia de conocimiento al personal cubano. Este texto es ilustrativo y debe sustentarse en estudios reales.</v>
      </c>
    </row>
    <row r="13">
      <c r="A13" s="25" t="str">
        <v>Relación con objetivos de la inversión extranjera</v>
      </c>
      <c r="B13" s="2" t="str">
        <v>Vinculación ilustrativa con los objetivos de la Ley 118: sustitución de importaciones de servicios por oferta nacional; generación de ingresos exportables (atención a pacientes internacionales); transferencia de tecnología y know-how; creación de empleo calificado; encadenamientos con laboratorios y proveedores nacionales de materiales, en lo posible.</v>
      </c>
    </row>
    <row r="14">
      <c r="A14" s="25" t="str">
        <v>Relación con el PNDES</v>
      </c>
      <c r="B14" s="2" t="str">
        <v>Alineación ilustrativa con el Plan Nacional de Desarrollo Económico y Social: eje de transformación de los servicios con alto valor agregado y exportables; objetivo de elevar la calidad de vida mediante servicios de salud. (Validar la alineación real con el PNDES vigente.)</v>
      </c>
    </row>
    <row r="15">
      <c r="A15" s="25" t="str">
        <v>Relación con la estrategia territorial</v>
      </c>
      <c r="B15" s="2" t="str">
        <v>Contribución ilustrativa a la Estrategia de Desarrollo Territorial de La Habana: fortalecimiento del polo de servicios de salud y posicionamiento de la ciudad como destino de turismo de salud. (Validar con la EDT municipal aplicable.)</v>
      </c>
    </row>
    <row r="16">
      <c r="A16" s="25" t="str">
        <v>Bienes y servicios</v>
      </c>
      <c r="B16" s="2" t="str">
        <v>Servicios estomatológicos especializados con equipamiento digital. Estructura de 9 líneas de servicios con precios y volúmenes previstos definidos en la sección 4.6. El detalle de precios y volúmenes es un supuesto ficticio precargado para demostrar el motor de cálculo.</v>
      </c>
    </row>
    <row r="17">
      <c r="A17" s="25" t="str">
        <v>Mercado interno</v>
      </c>
      <c r="B17" s="2" t="str">
        <v>Demanda de la población con capacidad de pago en La Habana y municipios cercanos; convenios con entidades empleadoras para planes de atención. Estimación ficticia de demanda aparente y solvente en la sección 4.8.</v>
      </c>
    </row>
    <row r="18">
      <c r="A18" s="25" t="str">
        <v>Mercado externo</v>
      </c>
      <c r="B18" s="2" t="str">
        <v>Atención a pacientes internacionales (turismo de salud) mediante acuerdos con turoperadores y plataformas de reservas médicas. Supuesto ilustrativo: participación creciente a partir del tercer año.</v>
      </c>
    </row>
    <row r="19">
      <c r="A19" s="25" t="str">
        <v>Regla de distribución de beneficios</v>
      </c>
      <c r="B19" s="2" t="str">
        <v>Distribución de utilidades conforme a la participación en el capital social (60 % socio extranjero / 40 % socio nacional, supuesto ilustrativo), previa cobertura de obligaciones y constitution de reservas conforme a la legislación vigente. (Regla a validar jurídicamente.)</v>
      </c>
    </row>
    <row r="20">
      <c r="A20" s="25" t="str">
        <v>Inversionista extranjero — nombre</v>
      </c>
      <c r="B20" s="2" t="str">
        <v>Grupo Dental Internacional S.A. (ficticio)</v>
      </c>
    </row>
    <row r="21">
      <c r="A21" s="25" t="str">
        <v>Inversionista extranjero — domicilio</v>
      </c>
      <c r="B21" s="2" t="str">
        <v>Av. Ejemplo 123, Ciudad Ejemplo, País Ejemplo (dato ficticio)</v>
      </c>
    </row>
    <row r="22">
      <c r="A22" s="25" t="str">
        <v>Inversionista extranjero — identificación fiscal</v>
      </c>
      <c r="B22" s="2" t="str">
        <v>NIF-EJEMPLO-000000 (ficticio)</v>
      </c>
    </row>
    <row r="23">
      <c r="A23" s="25" t="str">
        <v>Inversionista extranjero — experiencia</v>
      </c>
      <c r="B23" s="2" t="str">
        <v>Operador ilustrativo de redes de clínicas dentales con 15 años de experiencia (dato ficticio para la demostración).</v>
      </c>
    </row>
    <row r="24">
      <c r="A24" s="25" t="str">
        <v>Inversionista extranjero — vinculación con Cuba</v>
      </c>
      <c r="B24" s="2" t="str">
        <v>Sin operaciones previas en Cuba (supuesto ilustrativo).</v>
      </c>
    </row>
    <row r="25">
      <c r="A25" s="25" t="str">
        <v>Inversionista nacional — nombre</v>
      </c>
      <c r="B25" s="2" t="str">
        <v>Entidad Nacional de Servicios de Salud (ficticia)</v>
      </c>
    </row>
    <row r="26">
      <c r="A26" s="25" t="str">
        <v>Inversionista nacional — domicilio</v>
      </c>
      <c r="B26" s="2" t="str">
        <v>Calle Ejemplo 456, La Habana, Cuba (dato ficticio)</v>
      </c>
    </row>
    <row r="27">
      <c r="A27" s="25" t="str">
        <v>Inversionista nacional — identificación fiscal</v>
      </c>
      <c r="B27" s="2" t="str">
        <v>Código ONAT ficticio (dato ilustrativo)</v>
      </c>
    </row>
    <row r="28">
      <c r="A28" s="25" t="str">
        <v>Inversionista nacional — experiencia</v>
      </c>
      <c r="B28" s="2" t="str">
        <v>Entidad empleadora y prestadora de servicios de salud (dato ficticio).</v>
      </c>
    </row>
    <row r="29">
      <c r="A29" s="25" t="str">
        <v>Inversionista nacional — vinculación con Cuba</v>
      </c>
      <c r="B29" s="2" t="str">
        <v>Aporta instalaciones y fuerza de trabajo calificada (supuesto ilustrativo).</v>
      </c>
    </row>
    <row r="30">
      <c r="A30" s="25" t="str">
        <v>Conclusiones</v>
      </c>
      <c r="B30" s="2" t="str">
        <v>CONCLUSIONES PRELIMINARES (EJEMPLO ILUSTRATIVO): Con los supuestos ficticios precargados, el modelo financiero del ejemplo muestra utilidades después de impuestos crecientes, recuperación de la inversión en torno al cuarto año de operación y beneficios directos al país acumulados superiores al monto invertido dentro del horizonte de análisis. La plantilla demuestra la creación de 27 empleos directos en operación y la incorporación de tecnología digital. ADVERTENCIA: estas conclusiones se basan íntegramente en datos ficticios de demostración; no constituyen una evaluación de viabilidad real. Una propuesta seria exigiría validar la demanda solvente, los precios, los costos, la tasa tributaria aplicable y los requisitos legales, sanitarios y de inversión. No debe declararse viable un proyecto solo porque presente beneficios contables en un año.</v>
      </c>
    </row>
  </sheetData>
  <ignoredErrors>
    <ignoredError numberStoredAsText="1" sqref="A1:B30"/>
  </ignoredErrors>
</worksheet>
</file>

<file path=xl/worksheets/sheet17.xml><?xml version="1.0" encoding="utf-8"?>
<worksheet xmlns="http://schemas.openxmlformats.org/spreadsheetml/2006/main" xmlns:r="http://schemas.openxmlformats.org/officeDocument/2006/relationships">
  <dimension ref="A1:I45"/>
  <sheetViews>
    <sheetView workbookViewId="0"/>
  </sheetViews>
  <cols>
    <col min="1" max="1" width="26.83203125" customWidth="1"/>
    <col min="2" max="2" width="34.83203125" customWidth="1"/>
    <col min="3" max="3" width="20.83203125" customWidth="1"/>
    <col min="4" max="4" width="10.83203125" customWidth="1"/>
    <col min="5" max="5" width="12.83203125" customWidth="1"/>
    <col min="6" max="6" width="11.83203125" customWidth="1"/>
    <col min="7" max="7" width="80.83203125" customWidth="1"/>
    <col min="8" max="8" width="80.83203125" customWidth="1"/>
    <col min="9" max="9" width="22.83203125" customWidth="1"/>
  </cols>
  <sheetData>
    <row r="1">
      <c r="A1" s="3" t="str">
        <v>Configuración de cálculos (3.1/3.2) — reglas activas</v>
      </c>
    </row>
    <row r="3">
      <c r="A3" s="25" t="str">
        <v>ID</v>
      </c>
      <c r="B3" s="25" t="str">
        <v>Nombre</v>
      </c>
      <c r="C3" s="25" t="str">
        <v>Categoría</v>
      </c>
      <c r="D3" s="25" t="str">
        <v>Ámbito</v>
      </c>
      <c r="E3" s="25" t="str">
        <v>Unidad</v>
      </c>
      <c r="F3" s="25" t="str">
        <v>Habilitada</v>
      </c>
      <c r="G3" s="25" t="str">
        <v>Expresión activa (motor PLANEX)</v>
      </c>
      <c r="H3" s="25" t="str">
        <v>Equivalente Excel (año 1)</v>
      </c>
      <c r="I3" s="25" t="str">
        <v>Estado</v>
      </c>
    </row>
    <row r="4">
      <c r="A4" s="2" t="str">
        <v>srv_precio_proy</v>
      </c>
      <c r="B4" s="2" t="str">
        <v>Precio proyectado del servicio</v>
      </c>
      <c r="C4" s="2" t="str">
        <v>Servicios</v>
      </c>
      <c r="D4" s="2" t="str">
        <v>servicio</v>
      </c>
      <c r="E4" s="2" t="str">
        <v>USD/servicio</v>
      </c>
      <c r="F4" s="2" t="str">
        <v>Sí</v>
      </c>
      <c r="G4" s="2" t="str">
        <v>precio_base * (1 + crecimiento_precios) ^ MAX(0, PERIODO - 1)</v>
      </c>
      <c r="H4" s="2" t="str">
        <v>=(C4*((1+Parametros!$C$9)^MAX(0,($A4-1))))</v>
      </c>
      <c r="I4" s="2" t="str">
        <v>TRADUCIDA</v>
      </c>
    </row>
    <row r="5">
      <c r="A5" s="2" t="str">
        <v>srv_cantidad_mensual_proy</v>
      </c>
      <c r="B5" s="2" t="str">
        <v>Cantidad mensual proyectada</v>
      </c>
      <c r="C5" s="2" t="str">
        <v>Servicios</v>
      </c>
      <c r="D5" s="2" t="str">
        <v>servicio</v>
      </c>
      <c r="E5" s="2" t="str">
        <v>servicios/mes</v>
      </c>
      <c r="F5" s="2" t="str">
        <v>Sí</v>
      </c>
      <c r="G5" s="2" t="str">
        <v>cantidad_base_mensual * (1 + crecimiento_volumen) ^ MAX(0, PERIODO - 1)</v>
      </c>
      <c r="H5" s="2" t="str">
        <v>=(D4*((1+Parametros!$C$10)^MAX(0,($A4-1))))</v>
      </c>
      <c r="I5" s="2" t="str">
        <v>TRADUCIDA</v>
      </c>
    </row>
    <row r="6">
      <c r="A6" s="2" t="str">
        <v>srv_cantidad_anual</v>
      </c>
      <c r="B6" s="2" t="str">
        <v>Cantidad anual de servicios</v>
      </c>
      <c r="C6" s="2" t="str">
        <v>Servicios</v>
      </c>
      <c r="D6" s="2" t="str">
        <v>servicio</v>
      </c>
      <c r="E6" s="2" t="str">
        <v>servicios/año</v>
      </c>
      <c r="F6" s="2" t="str">
        <v>Sí</v>
      </c>
      <c r="G6" s="2" t="str">
        <v>srv_cantidad_mensual_proy * MESES_ANIO</v>
      </c>
      <c r="H6" s="2" t="str">
        <v>=(H4*12)</v>
      </c>
      <c r="I6" s="2" t="str">
        <v>TRADUCIDA</v>
      </c>
    </row>
    <row r="7">
      <c r="A7" s="2" t="str">
        <v>srv_costo_unitario_proy</v>
      </c>
      <c r="B7" s="2" t="str">
        <v>Costo variable unitario proyectado</v>
      </c>
      <c r="C7" s="2" t="str">
        <v>Servicios</v>
      </c>
      <c r="D7" s="2" t="str">
        <v>servicio</v>
      </c>
      <c r="E7" s="2" t="str">
        <v>USD/servicio</v>
      </c>
      <c r="F7" s="2" t="str">
        <v>Sí</v>
      </c>
      <c r="G7" s="2" t="str">
        <v>costo_variable_unitario * (1 + inflacion) ^ MAX(0, PERIODO - 1)</v>
      </c>
      <c r="H7" s="2" t="str">
        <v>=(F4*((1+Parametros!$C$8)^MAX(0,($A4-1))))</v>
      </c>
      <c r="I7" s="2" t="str">
        <v>TRADUCIDA</v>
      </c>
    </row>
    <row r="8">
      <c r="A8" s="2" t="str">
        <v>srv_ingreso_anual</v>
      </c>
      <c r="B8" s="2" t="str">
        <v>Ingreso anual por servicio</v>
      </c>
      <c r="C8" s="2" t="str">
        <v>Ingresos</v>
      </c>
      <c r="D8" s="2" t="str">
        <v>servicio</v>
      </c>
      <c r="E8" s="2" t="str">
        <v>USD/año</v>
      </c>
      <c r="F8" s="2" t="str">
        <v>Sí</v>
      </c>
      <c r="G8" s="2" t="str">
        <v>srv_precio_proy * srv_cantidad_anual</v>
      </c>
      <c r="H8" s="2" t="str">
        <v>=(G4*I4)</v>
      </c>
      <c r="I8" s="2" t="str">
        <v>TRADUCIDA</v>
      </c>
    </row>
    <row r="9">
      <c r="A9" s="2" t="str">
        <v>srv_costo_variable_total</v>
      </c>
      <c r="B9" s="2" t="str">
        <v>Costo variable total del servicio</v>
      </c>
      <c r="C9" s="2" t="str">
        <v>Costos</v>
      </c>
      <c r="D9" s="2" t="str">
        <v>servicio</v>
      </c>
      <c r="E9" s="2" t="str">
        <v>USD/año</v>
      </c>
      <c r="F9" s="2" t="str">
        <v>Sí</v>
      </c>
      <c r="G9" s="2" t="str">
        <v>srv_costo_unitario_proy * srv_cantidad_anual</v>
      </c>
      <c r="H9" s="2" t="str">
        <v>=(J4*I4)</v>
      </c>
      <c r="I9" s="2" t="str">
        <v>TRADUCIDA</v>
      </c>
    </row>
    <row r="10">
      <c r="A10" s="2" t="str">
        <v>srv_margen_contribucion</v>
      </c>
      <c r="B10" s="2" t="str">
        <v>Margen de contribución del servicio</v>
      </c>
      <c r="C10" s="2" t="str">
        <v>Servicios</v>
      </c>
      <c r="D10" s="2" t="str">
        <v>servicio</v>
      </c>
      <c r="E10" s="2" t="str">
        <v>USD/año</v>
      </c>
      <c r="F10" s="2" t="str">
        <v>Sí</v>
      </c>
      <c r="G10" s="2" t="str">
        <v>srv_ingreso_anual - srv_costo_variable_total</v>
      </c>
      <c r="H10" s="2" t="str">
        <v>=(K4-L4)</v>
      </c>
      <c r="I10" s="2" t="str">
        <v>TRADUCIDA</v>
      </c>
    </row>
    <row r="11">
      <c r="A11" s="2" t="str">
        <v>salario_anual_proy</v>
      </c>
      <c r="B11" s="2" t="str">
        <v>Salario anual proyectado</v>
      </c>
      <c r="C11" s="2" t="str">
        <v>Personal</v>
      </c>
      <c r="D11" s="2" t="str">
        <v>personal</v>
      </c>
      <c r="E11" s="2" t="str">
        <v>CUP/año</v>
      </c>
      <c r="F11" s="2" t="str">
        <v>Sí</v>
      </c>
      <c r="G11" s="2" t="str">
        <v>salario_promedio_anual * (1 + crecimiento_salarios) ^ MAX(0, PERIODO - 1)</v>
      </c>
      <c r="H11" s="2" t="str">
        <v>=(E4*((1+Parametros!$C$11)^MAX(0,($A4-1))))</v>
      </c>
      <c r="I11" s="2" t="str">
        <v>TRADUCIDA</v>
      </c>
    </row>
    <row r="12">
      <c r="A12" s="2" t="str">
        <v>gastos_previos_k</v>
      </c>
      <c r="B12" s="2" t="str">
        <v>Gastos previos (USD)</v>
      </c>
      <c r="C12" s="2" t="str">
        <v>Inversión y financiación</v>
      </c>
      <c r="D12" s="2" t="str">
        <v>proyecto</v>
      </c>
      <c r="E12" s="2" t="str">
        <v>kUSD</v>
      </c>
      <c r="F12" s="2" t="str">
        <v>Sí</v>
      </c>
      <c r="G12" s="2" t="str">
        <v>SUMA_INVERSIONES(IF(AND(categoria_inv = "gastos_previos", moneda_inv = "USD"), monto_inv, 0))</v>
      </c>
      <c r="H12" s="2" t="str">
        <v>=SUMIFS(Inversion!$D$4:$D$14,Inversion!$B$4:$B$14,"gastos_previos",Inversion!$C$4:$C$14,"USD")</v>
      </c>
      <c r="I12" s="2" t="str">
        <v>TRADUCIDA</v>
      </c>
    </row>
    <row r="13">
      <c r="A13" s="2" t="str">
        <v>inversion_fija_usd_k</v>
      </c>
      <c r="B13" s="2" t="str">
        <v>Inversión fija en USD</v>
      </c>
      <c r="C13" s="2" t="str">
        <v>Inversión y financiación</v>
      </c>
      <c r="D13" s="2" t="str">
        <v>proyecto</v>
      </c>
      <c r="E13" s="2" t="str">
        <v>kUSD</v>
      </c>
      <c r="F13" s="2" t="str">
        <v>Sí</v>
      </c>
      <c r="G13" s="2" t="str">
        <v>SUMA_INVERSIONES(IF(AND(categoria_inv = "inversion_fija", moneda_inv = "USD"), monto_inv, 0))</v>
      </c>
      <c r="H13" s="2" t="str">
        <v>=SUMIFS(Inversion!$D$4:$D$14,Inversion!$B$4:$B$14,"inversion_fija",Inversion!$C$4:$C$14,"USD")</v>
      </c>
      <c r="I13" s="2" t="str">
        <v>TRADUCIDA</v>
      </c>
    </row>
    <row r="14">
      <c r="A14" s="2" t="str">
        <v>inversion_fija_cup_k</v>
      </c>
      <c r="B14" s="2" t="str">
        <v>Inversión fija en CUP convertida</v>
      </c>
      <c r="C14" s="2" t="str">
        <v>Inversión y financiación</v>
      </c>
      <c r="D14" s="2" t="str">
        <v>proyecto</v>
      </c>
      <c r="E14" s="2" t="str">
        <v>kUSD</v>
      </c>
      <c r="F14" s="2" t="str">
        <v>Sí</v>
      </c>
      <c r="G14" s="2" t="str">
        <v>SUMA_INVERSIONES(IF(AND(categoria_inv = "inversion_fija", moneda_inv = "CUP"), monto_inv, 0)) / tipo_cambio</v>
      </c>
      <c r="H14" s="2" t="str">
        <v>=(SUMIFS(Inversion!$D$4:$D$14,Inversion!$B$4:$B$14,"inversion_fija",Inversion!$C$4:$C$14,"CUP")/Parametros!$C$4)</v>
      </c>
      <c r="I14" s="2" t="str">
        <v>TRADUCIDA</v>
      </c>
    </row>
    <row r="15">
      <c r="A15" s="2" t="str">
        <v>inversion_fija_k</v>
      </c>
      <c r="B15" s="2" t="str">
        <v>Inversión fija total</v>
      </c>
      <c r="C15" s="2" t="str">
        <v>Inversión y financiación</v>
      </c>
      <c r="D15" s="2" t="str">
        <v>proyecto</v>
      </c>
      <c r="E15" s="2" t="str">
        <v>kUSD</v>
      </c>
      <c r="F15" s="2" t="str">
        <v>Sí</v>
      </c>
      <c r="G15" s="2" t="str">
        <v>inversion_fija_usd_k + inversion_fija_cup_k</v>
      </c>
      <c r="H15" s="2" t="str">
        <v>=(Parametros!$C$2+Parametros!$C$2)</v>
      </c>
      <c r="I15" s="2" t="str">
        <v>TRADUCIDA</v>
      </c>
    </row>
    <row r="16">
      <c r="A16" s="2" t="str">
        <v>inversion_total_k</v>
      </c>
      <c r="B16" s="2" t="str">
        <v>Costo total de la inversión inicial</v>
      </c>
      <c r="C16" s="2" t="str">
        <v>Inversión y financiación</v>
      </c>
      <c r="D16" s="2" t="str">
        <v>proyecto</v>
      </c>
      <c r="E16" s="2" t="str">
        <v>kUSD</v>
      </c>
      <c r="F16" s="2" t="str">
        <v>Sí</v>
      </c>
      <c r="G16" s="2" t="str">
        <v>gastos_previos_k + inversion_fija_k + capital_trabajo_k</v>
      </c>
      <c r="H16" s="2" t="str">
        <v>=((Parametros!$C$2+Parametros!$C$2)+Parametros!$C$22)</v>
      </c>
      <c r="I16" s="2" t="str">
        <v>TRADUCIDA</v>
      </c>
    </row>
    <row r="17">
      <c r="A17" s="2" t="str">
        <v>aportaciones_total_k</v>
      </c>
      <c r="B17" s="2" t="str">
        <v>Total de aportaciones de los socios</v>
      </c>
      <c r="C17" s="2" t="str">
        <v>Inversión y financiación</v>
      </c>
      <c r="D17" s="2" t="str">
        <v>proyecto</v>
      </c>
      <c r="E17" s="2" t="str">
        <v>kUSD</v>
      </c>
      <c r="F17" s="2" t="str">
        <v>Sí</v>
      </c>
      <c r="G17" s="2" t="str">
        <v>SUMA_APORTACIONES(monto_aportacion)</v>
      </c>
      <c r="H17" s="2" t="str">
        <v>=SUM(Aportaciones!$F$4:$F$8)</v>
      </c>
      <c r="I17" s="2" t="str">
        <v>TRADUCIDA</v>
      </c>
    </row>
    <row r="18">
      <c r="A18" s="2" t="str">
        <v>financiacion_disponible_k</v>
      </c>
      <c r="B18" s="2" t="str">
        <v>Financiación disponible</v>
      </c>
      <c r="C18" s="2" t="str">
        <v>Inversión y financiación</v>
      </c>
      <c r="D18" s="2" t="str">
        <v>proyecto</v>
      </c>
      <c r="E18" s="2" t="str">
        <v>kUSD</v>
      </c>
      <c r="F18" s="2" t="str">
        <v>Sí</v>
      </c>
      <c r="G18" s="2" t="str">
        <v>aportaciones_total_k + otras_fuentes_k + credito_monto_k</v>
      </c>
      <c r="H18" s="2" t="str">
        <v>=((Parametros!$C$2+Parametros!$C$21)+Parametros!$C$20)</v>
      </c>
      <c r="I18" s="2" t="str">
        <v>TRADUCIDA</v>
      </c>
    </row>
    <row r="19">
      <c r="A19" s="2" t="str">
        <v>necesidad_financiacion_k</v>
      </c>
      <c r="B19" s="2" t="str">
        <v>Necesidad de financiación</v>
      </c>
      <c r="C19" s="2" t="str">
        <v>Inversión y financiación</v>
      </c>
      <c r="D19" s="2" t="str">
        <v>proyecto</v>
      </c>
      <c r="E19" s="2" t="str">
        <v>kUSD</v>
      </c>
      <c r="F19" s="2" t="str">
        <v>Sí</v>
      </c>
      <c r="G19" s="2" t="str">
        <v>inversion_total_k - aportaciones_total_k - otras_fuentes_k</v>
      </c>
      <c r="H19" s="2" t="str">
        <v>=((Parametros!$C$2-Parametros!$C$2)-Parametros!$C$21)</v>
      </c>
      <c r="I19" s="2" t="str">
        <v>TRADUCIDA</v>
      </c>
    </row>
    <row r="20">
      <c r="A20" s="2" t="str">
        <v>diferencia_financiacion_k</v>
      </c>
      <c r="B20" s="2" t="str">
        <v>Diferencia de financiación</v>
      </c>
      <c r="C20" s="2" t="str">
        <v>Inversión y financiación</v>
      </c>
      <c r="D20" s="2" t="str">
        <v>proyecto</v>
      </c>
      <c r="E20" s="2" t="str">
        <v>kUSD</v>
      </c>
      <c r="F20" s="2" t="str">
        <v>Sí</v>
      </c>
      <c r="G20" s="2" t="str">
        <v>financiacion_disponible_k - inversion_total_k</v>
      </c>
      <c r="H20" s="2" t="str">
        <v>=(Parametros!$C$2-Parametros!$C$2)</v>
      </c>
      <c r="I20" s="2" t="str">
        <v>TRADUCIDA</v>
      </c>
    </row>
    <row r="21">
      <c r="A21" s="2" t="str">
        <v>ingresos_servicios_usd</v>
      </c>
      <c r="B21" s="2" t="str">
        <v>Ingresos por servicios (USD)</v>
      </c>
      <c r="C21" s="2" t="str">
        <v>Ingresos</v>
      </c>
      <c r="D21" s="2" t="str">
        <v>anio</v>
      </c>
      <c r="E21" s="2" t="str">
        <v>USD</v>
      </c>
      <c r="F21" s="2" t="str">
        <v>Sí</v>
      </c>
      <c r="G21" s="2" t="str">
        <v>SUMA_SERVICIOS(srv_ingreso_anual)</v>
      </c>
      <c r="H21" s="2" t="str">
        <v>=SUMIFS(Servicios!$K$4:$K$93,Servicios!$A$4:$A$93,D$3)</v>
      </c>
      <c r="I21" s="2" t="str">
        <v>TRADUCIDA</v>
      </c>
    </row>
    <row r="22">
      <c r="A22" s="2" t="str">
        <v>ingresos_servicios_k</v>
      </c>
      <c r="B22" s="2" t="str">
        <v>Ingresos por servicios</v>
      </c>
      <c r="C22" s="2" t="str">
        <v>Ingresos</v>
      </c>
      <c r="D22" s="2" t="str">
        <v>anio</v>
      </c>
      <c r="E22" s="2" t="str">
        <v>kUSD</v>
      </c>
      <c r="F22" s="2" t="str">
        <v>Sí</v>
      </c>
      <c r="G22" s="2" t="str">
        <v>ingresos_servicios_usd / 1000</v>
      </c>
      <c r="H22" s="2" t="str">
        <v>=(D$4/1000)</v>
      </c>
      <c r="I22" s="2" t="str">
        <v>TRADUCIDA</v>
      </c>
    </row>
    <row r="23">
      <c r="A23" s="2" t="str">
        <v>ingresos_totales_k</v>
      </c>
      <c r="B23" s="2" t="str">
        <v>Ingresos totales</v>
      </c>
      <c r="C23" s="2" t="str">
        <v>Ingresos</v>
      </c>
      <c r="D23" s="2" t="str">
        <v>anio</v>
      </c>
      <c r="E23" s="2" t="str">
        <v>kUSD</v>
      </c>
      <c r="F23" s="2" t="str">
        <v>Sí</v>
      </c>
      <c r="G23" s="2" t="str">
        <v>ingresos_servicios_k + otros_ingresos_serie</v>
      </c>
      <c r="H23" s="2" t="str">
        <v>=(D$5+D$6)</v>
      </c>
      <c r="I23" s="2" t="str">
        <v>TRADUCIDA</v>
      </c>
    </row>
    <row r="24">
      <c r="A24" s="2" t="str">
        <v>costos_variables_usd</v>
      </c>
      <c r="B24" s="2" t="str">
        <v>Costos variables (USD)</v>
      </c>
      <c r="C24" s="2" t="str">
        <v>Costos</v>
      </c>
      <c r="D24" s="2" t="str">
        <v>anio</v>
      </c>
      <c r="E24" s="2" t="str">
        <v>USD</v>
      </c>
      <c r="F24" s="2" t="str">
        <v>Sí</v>
      </c>
      <c r="G24" s="2" t="str">
        <v>SUMA_SERVICIOS(srv_costo_variable_total)</v>
      </c>
      <c r="H24" s="2" t="str">
        <v>=SUMIFS(Servicios!$L$4:$L$93,Servicios!$A$4:$A$93,D$3)</v>
      </c>
      <c r="I24" s="2" t="str">
        <v>TRADUCIDA</v>
      </c>
    </row>
    <row r="25">
      <c r="A25" s="2" t="str">
        <v>costos_variables_k</v>
      </c>
      <c r="B25" s="2" t="str">
        <v>Costos variables</v>
      </c>
      <c r="C25" s="2" t="str">
        <v>Costos</v>
      </c>
      <c r="D25" s="2" t="str">
        <v>anio</v>
      </c>
      <c r="E25" s="2" t="str">
        <v>kUSD</v>
      </c>
      <c r="F25" s="2" t="str">
        <v>Sí</v>
      </c>
      <c r="G25" s="2" t="str">
        <v>costos_variables_usd / 1000</v>
      </c>
      <c r="H25" s="2" t="str">
        <v>=(D$8/1000)</v>
      </c>
      <c r="I25" s="2" t="str">
        <v>TRADUCIDA</v>
      </c>
    </row>
    <row r="26">
      <c r="A26" s="2" t="str">
        <v>costo_laboral_cup</v>
      </c>
      <c r="B26" s="2" t="str">
        <v>Costo laboral en CUP</v>
      </c>
      <c r="C26" s="2" t="str">
        <v>Costos</v>
      </c>
      <c r="D26" s="2" t="str">
        <v>anio</v>
      </c>
      <c r="E26" s="2" t="str">
        <v>CUP</v>
      </c>
      <c r="F26" s="2" t="str">
        <v>Sí</v>
      </c>
      <c r="G26" s="2" t="str">
        <v>SUMA_PERSONAL(cantidad * salario_anual_proy) * factor_costo_laboral</v>
      </c>
      <c r="H26" s="2" t="str">
        <v>=(SUMPRODUCT((Personal!$A$4:$A$54=D$3)*$D$4:$D$54*$F$4:$F$54)*Parametros!$C$14)</v>
      </c>
      <c r="I26" s="2" t="str">
        <v>TRADUCIDA</v>
      </c>
    </row>
    <row r="27">
      <c r="A27" s="2" t="str">
        <v>costo_laboral_k</v>
      </c>
      <c r="B27" s="2" t="str">
        <v>Costo laboral</v>
      </c>
      <c r="C27" s="2" t="str">
        <v>Costos</v>
      </c>
      <c r="D27" s="2" t="str">
        <v>anio</v>
      </c>
      <c r="E27" s="2" t="str">
        <v>kUSD</v>
      </c>
      <c r="F27" s="2" t="str">
        <v>Sí</v>
      </c>
      <c r="G27" s="2" t="str">
        <v>costo_laboral_cup / tipo_cambio / 1000</v>
      </c>
      <c r="H27" s="2" t="str">
        <v>=((D$10/Parametros!$C$4)/1000)</v>
      </c>
      <c r="I27" s="2" t="str">
        <v>TRADUCIDA</v>
      </c>
    </row>
    <row r="28">
      <c r="A28" s="2" t="str">
        <v>mantenimiento_k</v>
      </c>
      <c r="B28" s="2" t="str">
        <v>Mantenimiento</v>
      </c>
      <c r="C28" s="2" t="str">
        <v>Costos</v>
      </c>
      <c r="D28" s="2" t="str">
        <v>anio</v>
      </c>
      <c r="E28" s="2" t="str">
        <v>kUSD</v>
      </c>
      <c r="F28" s="2" t="str">
        <v>Sí</v>
      </c>
      <c r="G28" s="2" t="str">
        <v>pct_mantenimiento * inversion_fija_k</v>
      </c>
      <c r="H28" s="2" t="str">
        <v>=(Parametros!$C$13*Parametros!$C$2)</v>
      </c>
      <c r="I28" s="2" t="str">
        <v>TRADUCIDA</v>
      </c>
    </row>
    <row r="29">
      <c r="A29" s="2" t="str">
        <v>gastos_admin_k</v>
      </c>
      <c r="B29" s="2" t="str">
        <v>Gastos administrativos</v>
      </c>
      <c r="C29" s="2" t="str">
        <v>Costos</v>
      </c>
      <c r="D29" s="2" t="str">
        <v>anio</v>
      </c>
      <c r="E29" s="2" t="str">
        <v>kUSD</v>
      </c>
      <c r="F29" s="2" t="str">
        <v>Sí</v>
      </c>
      <c r="G29" s="2" t="str">
        <v>pct_gastos_admin * ingresos_totales_k</v>
      </c>
      <c r="H29" s="2" t="str">
        <v>=(Parametros!$C$12*D$7)</v>
      </c>
      <c r="I29" s="2" t="str">
        <v>TRADUCIDA</v>
      </c>
    </row>
    <row r="30">
      <c r="A30" s="2" t="str">
        <v>depreciacion_anual_k</v>
      </c>
      <c r="B30" s="2" t="str">
        <v>Depreciación anual</v>
      </c>
      <c r="C30" s="2" t="str">
        <v>Costos</v>
      </c>
      <c r="D30" s="2" t="str">
        <v>anio</v>
      </c>
      <c r="E30" s="2" t="str">
        <v>kUSD</v>
      </c>
      <c r="F30" s="2" t="str">
        <v>Sí</v>
      </c>
      <c r="G30" s="2" t="str">
        <v>SUMA_INVERSIONES(IF(AND(categoria_inv = "inversion_fija", moneda_inv = "USD"), monto_inv * IF(vida_util_inv &gt; 0, 1 / vida_util_inv, 0), 0)) + SUMA_INVERSIONES(IF(AND(categoria_inv = "inversion_fija", moneda_inv = "CUP"), monto_inv * IF(vida_util_inv &gt; 0, 1 / vida_util_inv, 0), 0)) / tipo_cambio</v>
      </c>
      <c r="H30" s="2" t="str">
        <v>=(SUMIFS(Inversion!$F$4:$F$14,Inversion!$B$4:$B$14,"inversion_fija",Inversion!$C$4:$C$14,"USD")+(SUMIFS(Inversion!$F$4:$F$14,Inversion!$B$4:$B$14,"inversion_fija",Inversion!$C$4:$C$14,"CUP")/Parametros!$C$4))</v>
      </c>
      <c r="I30" s="2" t="str">
        <v>TRADUCIDA</v>
      </c>
    </row>
    <row r="31">
      <c r="A31" s="2" t="str">
        <v>amortizacion_k</v>
      </c>
      <c r="B31" s="2" t="str">
        <v>Amortización del crédito</v>
      </c>
      <c r="C31" s="2" t="str">
        <v>Inversión y financiación</v>
      </c>
      <c r="D31" s="2" t="str">
        <v>anio</v>
      </c>
      <c r="E31" s="2" t="str">
        <v>kUSD</v>
      </c>
      <c r="F31" s="2" t="str">
        <v>Sí</v>
      </c>
      <c r="G31" s="2" t="str">
        <v>IF(AND(PERIODO &gt; periodo_gracia, PERIODO &lt;= periodo_gracia + plazo_amortizacion), credito_monto_k / plazo_amortizacion, 0)</v>
      </c>
      <c r="H31" s="2" t="str">
        <v>=IF(AND((D$3&gt;Parametros!$C$7),(D$3&lt;=(Parametros!$C$7+Parametros!$C$6))),(Parametros!$C$20/Parametros!$C$6),0)</v>
      </c>
      <c r="I31" s="2" t="str">
        <v>TRADUCIDA</v>
      </c>
    </row>
    <row r="32">
      <c r="A32" s="2" t="str">
        <v>saldo_deuda_k</v>
      </c>
      <c r="B32" s="2" t="str">
        <v>Saldo de la deuda</v>
      </c>
      <c r="C32" s="2" t="str">
        <v>Inversión y financiación</v>
      </c>
      <c r="D32" s="2" t="str">
        <v>anio</v>
      </c>
      <c r="E32" s="2" t="str">
        <v>kUSD</v>
      </c>
      <c r="F32" s="2" t="str">
        <v>Sí</v>
      </c>
      <c r="G32" s="2" t="str">
        <v>IF(PERIODO = 0, credito_monto_k, MAX(0, LAG(saldo_deuda_k, 1) - amortizacion_k))</v>
      </c>
      <c r="H32" s="2" t="str">
        <v>=IF((D$3=0),Parametros!$C$20,MAX(0,(C$20-D$19)))</v>
      </c>
      <c r="I32" s="2" t="str">
        <v>TRADUCIDA</v>
      </c>
    </row>
    <row r="33">
      <c r="A33" s="2" t="str">
        <v>interes_k</v>
      </c>
      <c r="B33" s="2" t="str">
        <v>Intereses del crédito</v>
      </c>
      <c r="C33" s="2" t="str">
        <v>Costos</v>
      </c>
      <c r="D33" s="2" t="str">
        <v>anio</v>
      </c>
      <c r="E33" s="2" t="str">
        <v>kUSD</v>
      </c>
      <c r="F33" s="2" t="str">
        <v>Sí</v>
      </c>
      <c r="G33" s="2" t="str">
        <v>IF(PERIODO = 0, 0, LAG(saldo_deuda_k, 1) * tasa_interes)</v>
      </c>
      <c r="H33" s="2" t="str">
        <v>=IF((D$3=0),0,(C$20*Parametros!$C$5))</v>
      </c>
      <c r="I33" s="2" t="str">
        <v>TRADUCIDA</v>
      </c>
    </row>
    <row r="34">
      <c r="A34" s="2" t="str">
        <v>costos_totales_k</v>
      </c>
      <c r="B34" s="2" t="str">
        <v>Costos y gastos totales</v>
      </c>
      <c r="C34" s="2" t="str">
        <v>Costos</v>
      </c>
      <c r="D34" s="2" t="str">
        <v>anio</v>
      </c>
      <c r="E34" s="2" t="str">
        <v>kUSD</v>
      </c>
      <c r="F34" s="2" t="str">
        <v>Sí</v>
      </c>
      <c r="G34" s="2" t="str">
        <v>costos_variables_k + costo_laboral_k + canon_anual_k + mantenimiento_k + servicios_publicos_anual_k + gastos_admin_k + otros_gastos_fijos_k + depreciacion_anual_k + interes_k</v>
      </c>
      <c r="H34" s="2" t="str">
        <v>=((((((((D$9+D$11)+Parametros!$C$18)+D$13)+Parametros!$C$17)+D$15)+Parametros!$C$19)+D$17)+D$18)</v>
      </c>
      <c r="I34" s="2" t="str">
        <v>TRADUCIDA</v>
      </c>
    </row>
    <row r="35">
      <c r="A35" s="2" t="str">
        <v>utilidad_antes_impuestos_k</v>
      </c>
      <c r="B35" s="2" t="str">
        <v>Utilidad antes de impuestos</v>
      </c>
      <c r="C35" s="2" t="str">
        <v>Resultados</v>
      </c>
      <c r="D35" s="2" t="str">
        <v>anio</v>
      </c>
      <c r="E35" s="2" t="str">
        <v>kUSD</v>
      </c>
      <c r="F35" s="2" t="str">
        <v>Sí</v>
      </c>
      <c r="G35" s="2" t="str">
        <v>ingresos_totales_k - costos_totales_k</v>
      </c>
      <c r="H35" s="2" t="str">
        <v>=(D$7-D$21)</v>
      </c>
      <c r="I35" s="2" t="str">
        <v>TRADUCIDA</v>
      </c>
    </row>
    <row r="36">
      <c r="A36" s="2" t="str">
        <v>impuesto_utilidades_k</v>
      </c>
      <c r="B36" s="2" t="str">
        <v>Impuesto sobre utilidades (regla demostrativa)</v>
      </c>
      <c r="C36" s="2" t="str">
        <v>Resultados</v>
      </c>
      <c r="D36" s="2" t="str">
        <v>anio</v>
      </c>
      <c r="E36" s="2" t="str">
        <v>kUSD</v>
      </c>
      <c r="F36" s="2" t="str">
        <v>Sí</v>
      </c>
      <c r="G36" s="2" t="str">
        <v>MAX(0, utilidad_antes_impuestos_k * tasa_impuesto_utilidades)</v>
      </c>
      <c r="H36" s="2" t="str">
        <v>=MAX(0,(D$22*Parametros!$C$3))</v>
      </c>
      <c r="I36" s="2" t="str">
        <v>TRADUCIDA</v>
      </c>
    </row>
    <row r="37">
      <c r="A37" s="2" t="str">
        <v>utilidad_despues_impuestos_k</v>
      </c>
      <c r="B37" s="2" t="str">
        <v>Utilidad después de impuestos</v>
      </c>
      <c r="C37" s="2" t="str">
        <v>Resultados</v>
      </c>
      <c r="D37" s="2" t="str">
        <v>anio</v>
      </c>
      <c r="E37" s="2" t="str">
        <v>kUSD</v>
      </c>
      <c r="F37" s="2" t="str">
        <v>Sí</v>
      </c>
      <c r="G37" s="2" t="str">
        <v>utilidad_antes_impuestos_k - impuesto_utilidades_k</v>
      </c>
      <c r="H37" s="2" t="str">
        <v>=(D$22-D$23)</v>
      </c>
      <c r="I37" s="2" t="str">
        <v>TRADUCIDA</v>
      </c>
    </row>
    <row r="38">
      <c r="A38" s="2" t="str">
        <v>flujo_neto_k</v>
      </c>
      <c r="B38" s="2" t="str">
        <v>Flujo de caja neto</v>
      </c>
      <c r="C38" s="2" t="str">
        <v>Flujo de caja</v>
      </c>
      <c r="D38" s="2" t="str">
        <v>anio</v>
      </c>
      <c r="E38" s="2" t="str">
        <v>kUSD</v>
      </c>
      <c r="F38" s="2" t="str">
        <v>Sí</v>
      </c>
      <c r="G38" s="2" t="str">
        <v>IF(PERIODO = 0, -inversion_total_k, utilidad_despues_impuestos_k + depreciacion_anual_k - amortizacion_k)</v>
      </c>
      <c r="H38" s="2" t="str">
        <v>=IF((D$3=0),(-Parametros!$C$2),((D$24+D$17)-D$19))</v>
      </c>
      <c r="I38" s="2" t="str">
        <v>TRADUCIDA</v>
      </c>
    </row>
    <row r="39">
      <c r="A39" s="2" t="str">
        <v>flujo_acumulado_k</v>
      </c>
      <c r="B39" s="2" t="str">
        <v>Flujo de caja acumulado</v>
      </c>
      <c r="C39" s="2" t="str">
        <v>Flujo de caja</v>
      </c>
      <c r="D39" s="2" t="str">
        <v>anio</v>
      </c>
      <c r="E39" s="2" t="str">
        <v>kUSD</v>
      </c>
      <c r="F39" s="2" t="str">
        <v>Sí</v>
      </c>
      <c r="G39" s="2" t="str">
        <v>IF(PERIODO = 0, flujo_neto_k, LAG(flujo_acumulado_k, 1) + flujo_neto_k)</v>
      </c>
      <c r="H39" s="2" t="str">
        <v>=IF((D$3=0),D$25,(C$26+D$25))</v>
      </c>
      <c r="I39" s="2" t="str">
        <v>TRADUCIDA</v>
      </c>
    </row>
    <row r="40">
      <c r="A40" s="2" t="str">
        <v>saldo_pendiente_k</v>
      </c>
      <c r="B40" s="2" t="str">
        <v>Saldo pendiente de recuperar</v>
      </c>
      <c r="C40" s="2" t="str">
        <v>Flujo de caja</v>
      </c>
      <c r="D40" s="2" t="str">
        <v>anio</v>
      </c>
      <c r="E40" s="2" t="str">
        <v>kUSD</v>
      </c>
      <c r="F40" s="2" t="str">
        <v>Sí</v>
      </c>
      <c r="G40" s="2" t="str">
        <v>MAX(0, -flujo_acumulado_k)</v>
      </c>
      <c r="H40" s="2" t="str">
        <v>=MAX(0,(-D$26))</v>
      </c>
      <c r="I40" s="2" t="str">
        <v>TRADUCIDA</v>
      </c>
    </row>
    <row r="41">
      <c r="A41" s="2" t="str">
        <v>dividendos_parte_cubana_k</v>
      </c>
      <c r="B41" s="2" t="str">
        <v>Dividendos de la parte cubana</v>
      </c>
      <c r="C41" s="2" t="str">
        <v>Beneficios al país</v>
      </c>
      <c r="D41" s="2" t="str">
        <v>anio</v>
      </c>
      <c r="E41" s="2" t="str">
        <v>kUSD</v>
      </c>
      <c r="F41" s="2" t="str">
        <v>Sí</v>
      </c>
      <c r="G41" s="2" t="str">
        <v>IF(utilidad_despues_impuestos_k &gt; 0, utilidad_despues_impuestos_k * pct_parte_cubana * pct_reparto_dividendos, 0)</v>
      </c>
      <c r="H41" s="2" t="str">
        <v>=IF((D$24&gt;0),((D$24*Parametros!$C$15)*Parametros!$C$16),0)</v>
      </c>
      <c r="I41" s="2" t="str">
        <v>TRADUCIDA</v>
      </c>
    </row>
    <row r="42">
      <c r="A42" s="2" t="str">
        <v>pagos_fuerza_trabajo_k</v>
      </c>
      <c r="B42" s="2" t="str">
        <v>Pagos por la fuerza de trabajo</v>
      </c>
      <c r="C42" s="2" t="str">
        <v>Beneficios al país</v>
      </c>
      <c r="D42" s="2" t="str">
        <v>anio</v>
      </c>
      <c r="E42" s="2" t="str">
        <v>kUSD</v>
      </c>
      <c r="F42" s="2" t="str">
        <v>Sí</v>
      </c>
      <c r="G42" s="2" t="str">
        <v>costo_laboral_k</v>
      </c>
      <c r="H42" s="2" t="str">
        <v>=D$11</v>
      </c>
      <c r="I42" s="2" t="str">
        <v>TRADUCIDA</v>
      </c>
    </row>
    <row r="43">
      <c r="A43" s="2" t="str">
        <v>total_beneficios_pais_k</v>
      </c>
      <c r="B43" s="2" t="str">
        <v>Total de beneficios directos al país</v>
      </c>
      <c r="C43" s="2" t="str">
        <v>Beneficios al país</v>
      </c>
      <c r="D43" s="2" t="str">
        <v>anio</v>
      </c>
      <c r="E43" s="2" t="str">
        <v>kUSD</v>
      </c>
      <c r="F43" s="2" t="str">
        <v>Sí</v>
      </c>
      <c r="G43" s="2" t="str">
        <v>impuesto_utilidades_k + otros_impuestos_anual_k + aranceles_anual_k + dividendos_parte_cubana_k + pagos_fuerza_trabajo_k + canon_anual_k + royalties_anual_k + otros_beneficios_pais_k</v>
      </c>
      <c r="H43" s="2" t="str">
        <v>=(((((((D$23+Parametros!$C$24)+Parametros!$C$23)+Parametros!$C$2)+Parametros!$C$2)+Parametros!$C$18)+Parametros!$C$25)+Parametros!$C$26)</v>
      </c>
      <c r="I43" s="2" t="str">
        <v>TRADUCIDA</v>
      </c>
    </row>
    <row r="45">
      <c r="A45" s="7" t="str">
        <v>Los parámetros (Nivel A) viven en la hoja Parametros y las fórmulas los referencian con referencias absolutas.</v>
      </c>
    </row>
  </sheetData>
  <ignoredErrors>
    <ignoredError numberStoredAsText="1" sqref="A1:I45"/>
  </ignoredErrors>
</worksheet>
</file>

<file path=xl/worksheets/sheet18.xml><?xml version="1.0" encoding="utf-8"?>
<worksheet xmlns="http://schemas.openxmlformats.org/spreadsheetml/2006/main" xmlns:r="http://schemas.openxmlformats.org/officeDocument/2006/relationships">
  <dimension ref="A1:C11"/>
  <sheetViews>
    <sheetView workbookViewId="0"/>
  </sheetViews>
  <cols>
    <col min="1" max="1" width="40.83203125" customWidth="1"/>
    <col min="2" max="2" width="16.83203125" customWidth="1"/>
    <col min="3" max="3" width="60.83203125" customWidth="1"/>
  </cols>
  <sheetData>
    <row r="1">
      <c r="A1" s="3" t="str">
        <v>Controles de consistencia</v>
      </c>
    </row>
    <row r="3">
      <c r="A3" s="25" t="str">
        <v>Control</v>
      </c>
      <c r="B3" s="25" t="str">
        <v>Resultado</v>
      </c>
      <c r="C3" s="25" t="str">
        <v>Criterio</v>
      </c>
    </row>
    <row r="4">
      <c r="A4" s="2" t="str">
        <v>Suficiencia de la financiación</v>
      </c>
      <c r="B4" s="23" t="str">
        <f>=IF(Financiacion!$D$15&lt;-0.05,"INSUFICIENTE",IF(Financiacion!$D$15&gt;0.05,"EXCESO","OK"))</f>
        <v>OK</v>
      </c>
      <c r="C4" s="2" t="str">
        <v>Diferencia de financiación entre −0,05 y +0,05 kUSD</v>
      </c>
    </row>
    <row r="5">
      <c r="A5" s="2" t="str">
        <v>Servicios por encima de la capacidad instalada</v>
      </c>
      <c r="B5" s="13">
        <f>=COUNTIF(Servicios!$N$4:$N$93,"EXCEDE")</f>
        <v>0</v>
      </c>
      <c r="C5" s="2" t="str">
        <v>Recuento de filas «EXCEDE» = 0</v>
      </c>
    </row>
    <row r="6">
      <c r="A6" s="2" t="str">
        <v>Monedas no válidas en inversiones</v>
      </c>
      <c r="B6" s="13">
        <f>=SUMPRODUCT((Inversion!$C$4:$C$14&lt;&gt;"USD")*(Inversion!$C$4:$C$14&lt;&gt;"CUP"))</f>
        <v>0</v>
      </c>
      <c r="C6" s="2" t="str">
        <v>Solo se admiten USD y CUP</v>
      </c>
    </row>
    <row r="7">
      <c r="A7" s="2" t="str">
        <v>Inversión fija sin vida útil</v>
      </c>
      <c r="B7" s="13">
        <f>=SUMPRODUCT((Inversion!$B$4:$B$14="inversion_fija")*(Inversion!$E$4:$E$14&lt;=0))</f>
        <v>0</v>
      </c>
      <c r="C7" s="2" t="str">
        <v>Partidas fijas con vida útil &gt; 0</v>
      </c>
    </row>
    <row r="8">
      <c r="A8" s="2" t="str">
        <v>Coherencia del impuesto con la regla activa</v>
      </c>
      <c r="B8" s="23" t="str">
        <f>=IF(ABS(Proyecciones!D23-MAX(0,Proyecciones!D22*Parametros!$C$3))&lt;=0.05,"OK","REVISAR FÓRMULA")</f>
        <v>OK</v>
      </c>
      <c r="C8" s="2" t="str">
        <v>Impuesto (año 1) = MAX(0; UAI × tasa) — si cambió la fórmula, revise este control</v>
      </c>
    </row>
    <row r="10">
      <c r="A10" s="7" t="str">
        <v>ADVERTENCIA: este libro refleja reglas y parámetros activos al exportar. Los valores marcados NO TRADUCIBLE se exportan estáticos y documentados.</v>
      </c>
    </row>
    <row r="11">
      <c r="A11" s="9" t="str">
        <v>EJEMPLO ILUSTRATIVO CON DATOS FICTICIOS.</v>
      </c>
    </row>
  </sheetData>
  <ignoredErrors>
    <ignoredError numberStoredAsText="1" sqref="A1:C11"/>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18</vt:i4>
      </vt:variant>
    </vt:vector>
  </HeadingPairs>
  <TitlesOfParts>
    <vt:vector size="18" baseType="lpstr">
      <vt:lpstr>Portada</vt:lpstr>
      <vt:lpstr>Resumen</vt:lpstr>
      <vt:lpstr>Parametros</vt:lpstr>
      <vt:lpstr>Inversion</vt:lpstr>
      <vt:lpstr>Aportaciones</vt:lpstr>
      <vt:lpstr>Financiacion</vt:lpstr>
      <vt:lpstr>Servicios</vt:lpstr>
      <vt:lpstr>Personal</vt:lpstr>
      <vt:lpstr>Proyecciones</vt:lpstr>
      <vt:lpstr>FlujoCaja</vt:lpstr>
      <vt:lpstr>BeneficiosPais</vt:lpstr>
      <vt:lpstr>FuerzaTrabajo</vt:lpstr>
      <vt:lpstr>Cronograma</vt:lpstr>
      <vt:lpstr>ConsumosTecnicos</vt:lpstr>
      <vt:lpstr>Mercado</vt:lpstr>
      <vt:lpstr>Descripcion</vt:lpstr>
      <vt:lpstr>Reglas</vt:lpstr>
      <vt:lpstr>Controles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2026-10-25T12:00:00Z</dcterms:created>
  <dc:creator>PLANEX Cuba</dc:creator>
  <dc:title>Clínica Estomatológica «Sonrisa Habana»</dc:title>
</cp:coreProperties>
</file>