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rtada" sheetId="1" r:id="rId1"/>
    <sheet name="Resumen" sheetId="2" r:id="rId2"/>
    <sheet name="Parametros" sheetId="3" r:id="rId3"/>
    <sheet name="Inversion" sheetId="4" r:id="rId4"/>
    <sheet name="Depreciacion" sheetId="5" r:id="rId5"/>
    <sheet name="Deuda" sheetId="6" r:id="rId6"/>
    <sheet name="Aportaciones" sheetId="7" r:id="rId7"/>
    <sheet name="Financiacion" sheetId="8" r:id="rId8"/>
    <sheet name="Servicios" sheetId="9" r:id="rId9"/>
    <sheet name="Personal" sheetId="10" r:id="rId10"/>
    <sheet name="Capacidad" sheetId="11" r:id="rId11"/>
    <sheet name="Proyecciones" sheetId="12" r:id="rId12"/>
    <sheet name="FlujosCaja" sheetId="13" r:id="rId13"/>
    <sheet name="Dividendos" sheetId="14" r:id="rId14"/>
    <sheet name="BeneficiosPais" sheetId="15" r:id="rId15"/>
    <sheet name="FuerzaTrabajo" sheetId="16" r:id="rId16"/>
    <sheet name="Cronograma" sheetId="17" r:id="rId17"/>
    <sheet name="ConsumosTecnicos" sheetId="18" r:id="rId18"/>
    <sheet name="Mercado" sheetId="19" r:id="rId19"/>
    <sheet name="Descripcion" sheetId="20" r:id="rId20"/>
    <sheet name="Reglas" sheetId="21" r:id="rId21"/>
    <sheet name="Controles" sheetId="22" r:id="rId22"/>
  </sheets>
  <calcPr calcId="171027" fullCalcOnLoad="1"/>
  <definedNames>
    <definedName name="_xlnm._FilterDatabase" localSheetId="3">'Inversion'!A3:I311</definedName>
    <definedName name="_xlnm._FilterDatabase" localSheetId="8">'Servicios'!A3:V93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1">
    <numFmt numFmtId="165" formatCode="#,##0.0"/>
    <numFmt numFmtId="166" formatCode="#,##0.0"/>
    <numFmt numFmtId="167" formatCode="0.0"/>
    <numFmt numFmtId="168" formatCode="0.0%"/>
    <numFmt numFmtId="169" formatCode="#,##0.0"/>
    <numFmt numFmtId="170" formatCode="0.0%"/>
    <numFmt numFmtId="171" formatCode="0.0"/>
    <numFmt numFmtId="172" formatCode="#,##0.0"/>
    <numFmt numFmtId="173" formatCode="0.0%"/>
    <numFmt numFmtId="174" formatCode="0.0000"/>
    <numFmt numFmtId="175" formatCode="0.0"/>
  </numFmts>
  <fonts count="20" x14ac:knownFonts="1">
    <font>
      <sz val="11"/>
      <name val="Calibri"/>
    </font>
    <font>
      <sz val="11"/>
      <name val="Calibri"/>
    </font>
    <font>
      <sz val="14"/>
      <name val="Calibri"/>
      <b/>
      <color rgb="333F50"/>
    </font>
    <font>
      <sz val="10"/>
      <name val="Calibri"/>
      <i/>
      <color rgb="595959"/>
    </font>
    <font>
      <sz val="9"/>
      <name val="Calibri"/>
      <i/>
      <color rgb="7F6000"/>
    </font>
    <font>
      <sz val="9"/>
      <name val="Calibri"/>
      <b/>
      <color rgb="843C0C"/>
    </font>
    <font>
      <sz val="9"/>
      <name val="Calibri"/>
      <b/>
      <color rgb="843C0C"/>
    </font>
    <font>
      <sz val="10"/>
      <name val="Calibri"/>
      <b/>
      <color rgb="FFFFFF"/>
    </font>
    <font>
      <sz val="10"/>
      <name val="Calibri"/>
      <b/>
      <color rgb="FFFFFF"/>
    </font>
    <font>
      <sz val="11"/>
      <name val="Calibri"/>
      <b/>
    </font>
    <font>
      <sz val="11"/>
      <name val="Calibri"/>
      <b/>
    </font>
    <font>
      <sz val="11"/>
      <name val="Calibri"/>
      <b/>
    </font>
    <font>
      <sz val="9"/>
      <name val="Calibri"/>
      <color rgb="974706"/>
    </font>
    <font>
      <sz val="10"/>
      <name val="Calibri"/>
      <b/>
      <color rgb="FFFFFF"/>
    </font>
    <font>
      <sz val="11"/>
      <name val="Calibri"/>
      <b/>
    </font>
    <font>
      <sz val="11"/>
      <name val="Calibri"/>
      <b/>
    </font>
    <font>
      <sz val="9"/>
      <name val="Calibri"/>
      <color rgb="974706"/>
    </font>
    <font>
      <sz val="11"/>
      <name val="Calibri"/>
      <b/>
      <color rgb="2F6B2F"/>
    </font>
    <font>
      <sz val="9"/>
      <name val="Calibri"/>
      <b/>
      <color rgb="990000"/>
    </font>
    <font>
      <sz val="9"/>
      <name val="Calibri"/>
      <b/>
      <color rgb="990000"/>
    </font>
  </fonts>
  <fills count="30">
    <fill>
      <patternFill patternType="none">
        <bgColor/>
      </patternFill>
    </fill>
    <fill>
      <patternFill patternType="gray125">
        <bgColor/>
      </patternFill>
    </fill>
    <fill>
      <patternFill patternType="solid">
        <fgColor rgb="FFE2EFDA"/>
        <bgColor/>
      </patternFill>
    </fill>
    <fill>
      <patternFill patternType="solid">
        <fgColor rgb="FFE2EFDA"/>
        <bgColor/>
      </patternFill>
    </fill>
    <fill>
      <patternFill patternType="solid">
        <fgColor rgb="FFE2EFDA"/>
        <bgColor/>
      </patternFill>
    </fill>
    <fill>
      <patternFill patternType="solid">
        <fgColor rgb="FFF8CBAD"/>
        <bgColor/>
      </patternFill>
    </fill>
    <fill>
      <patternFill patternType="solid">
        <fgColor rgb="FFF8CBAD"/>
        <bgColor/>
      </patternFill>
    </fill>
    <fill>
      <patternFill patternType="solid">
        <fgColor rgb="FF333F50"/>
        <bgColor/>
      </patternFill>
    </fill>
    <fill>
      <patternFill patternType="solid">
        <fgColor rgb="FF333F50"/>
        <bgColor/>
      </patternFill>
    </fill>
    <fill>
      <patternFill patternType="solid">
        <fgColor rgb="FFE2EFDA"/>
        <bgColor/>
      </patternFill>
    </fill>
    <fill>
      <patternFill patternType="solid">
        <fgColor rgb="FFE2EFDA"/>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E7E6E6"/>
        <bgColor/>
      </patternFill>
    </fill>
    <fill>
      <patternFill patternType="solid">
        <fgColor rgb="FFE7E6E6"/>
        <bgColor/>
      </patternFill>
    </fill>
    <fill>
      <patternFill patternType="solid">
        <fgColor rgb="FFE7E6E6"/>
        <bgColor/>
      </patternFill>
    </fill>
    <fill>
      <patternFill patternType="solid">
        <fgColor rgb="FFE2EFDA"/>
        <bgColor/>
      </patternFill>
    </fill>
    <fill>
      <patternFill patternType="solid">
        <fgColor rgb="FFFCE5CD"/>
        <bgColor/>
      </patternFill>
    </fill>
    <fill>
      <patternFill patternType="solid">
        <fgColor rgb="FFE2EFDA"/>
        <bgColor/>
      </patternFill>
    </fill>
    <fill>
      <patternFill patternType="solid">
        <fgColor rgb="FFFFF2CC"/>
        <bgColor/>
      </patternFill>
    </fill>
    <fill>
      <patternFill patternType="solid">
        <fgColor rgb="FFE2EFDA"/>
        <bgColor/>
      </patternFill>
    </fill>
    <fill>
      <patternFill patternType="solid">
        <fgColor rgb="FF333F50"/>
        <bgColor/>
      </patternFill>
    </fill>
    <fill>
      <patternFill patternType="solid">
        <fgColor rgb="FFE7E6E6"/>
        <bgColor/>
      </patternFill>
    </fill>
    <fill>
      <patternFill patternType="solid">
        <fgColor rgb="FFE7E6E6"/>
        <bgColor/>
      </patternFill>
    </fill>
    <fill>
      <patternFill patternType="solid">
        <fgColor rgb="FFFCE5CD"/>
        <bgColor/>
      </patternFill>
    </fill>
    <fill>
      <patternFill patternType="solid">
        <fgColor rgb="FFF4CCCC"/>
        <bgColor/>
      </patternFill>
    </fill>
    <fill>
      <patternFill patternType="solid">
        <fgColor rgb="FFF4CCCC"/>
        <bgColor/>
      </patternFill>
    </fill>
  </fills>
  <borders count="2">
    <border>
      <left/>
      <right/>
      <top/>
      <bottom/>
      <diagonal/>
    </border>
    <border>
      <left/>
      <right/>
      <top/>
      <bottom/>
      <diagonal/>
    </border>
  </borders>
  <cellStyleXfs>
    <xf numFmtId="0" fontId="0" fillId="0" borderId="0"/>
  </cellStyleXfs>
  <cellXfs count="35">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xf numFmtId="165" fontId="0" fillId="2" borderId="0" xfId="0" applyFill="1" applyNumberFormat="1"/>
    <xf numFmtId="166" fontId="0" fillId="3" borderId="0" xfId="0" applyFill="1" applyNumberFormat="1"/>
    <xf numFmtId="167" fontId="0" fillId="4" borderId="0" xfId="0" applyFill="1" applyNumberFormat="1"/>
    <xf numFmtId="0" fontId="4" fillId="0" borderId="0" xfId="0" applyFont="1"/>
    <xf numFmtId="0" fontId="5" fillId="5" borderId="0" xfId="0" applyFont="1" applyFill="1"/>
    <xf numFmtId="0" fontId="6" fillId="6" borderId="0" xfId="0" applyFont="1" applyFill="1"/>
    <xf numFmtId="0" fontId="7" fillId="7" borderId="0" xfId="0" applyFont="1" applyFill="1" applyAlignment="1">
      <alignment horizontal="center" vertical="center" wrapText="true"/>
    </xf>
    <xf numFmtId="0" fontId="8" fillId="8" borderId="0" xfId="0" applyFont="1" applyFill="1" applyAlignment="1">
      <alignment horizontal="center" vertical="center" wrapText="true"/>
    </xf>
    <xf numFmtId="1" fontId="0" fillId="9" borderId="0" xfId="0" applyFill="1" applyNumberFormat="1"/>
    <xf numFmtId="3" fontId="0" fillId="10" borderId="0" xfId="0" applyFill="1" applyNumberFormat="1"/>
    <xf numFmtId="168" fontId="0" fillId="11" borderId="0" xfId="0" applyFill="1" applyNumberFormat="1"/>
    <xf numFmtId="169" fontId="0" fillId="12" borderId="0" xfId="0" applyFill="1" applyNumberFormat="1"/>
    <xf numFmtId="170" fontId="0" fillId="13" borderId="0" xfId="0" applyFill="1" applyNumberFormat="1"/>
    <xf numFmtId="171" fontId="0" fillId="14" borderId="0" xfId="0" applyFill="1" applyNumberFormat="1"/>
    <xf numFmtId="1" fontId="0" fillId="15" borderId="0" xfId="0" applyFill="1" applyNumberFormat="1"/>
    <xf numFmtId="0" fontId="9" fillId="16" borderId="0" xfId="0" applyFont="1" applyFill="1"/>
    <xf numFmtId="172" fontId="10" fillId="17" borderId="0" xfId="0" applyFont="1" applyFill="1" applyNumberFormat="1"/>
    <xf numFmtId="0" fontId="11" fillId="18" borderId="0" xfId="0" applyFont="1" applyFill="1"/>
    <xf numFmtId="173" fontId="0" fillId="19" borderId="0" xfId="0" applyFill="1" applyNumberFormat="1"/>
    <xf numFmtId="0" fontId="12" fillId="20" borderId="0" xfId="0" applyFont="1" applyFill="1"/>
    <xf numFmtId="0" fontId="0" fillId="21" borderId="0" xfId="0" applyFill="1"/>
    <xf numFmtId="3" fontId="0" fillId="22" borderId="0" xfId="0" applyFill="1" applyNumberFormat="1"/>
    <xf numFmtId="174" fontId="0" fillId="23" borderId="0" xfId="0" applyFill="1" applyNumberFormat="1"/>
    <xf numFmtId="1" fontId="13" fillId="24" borderId="0" xfId="0" applyFont="1" applyFill="1" applyNumberFormat="1" applyAlignment="1">
      <alignment horizontal="center" vertical="center" wrapText="true"/>
    </xf>
    <xf numFmtId="175" fontId="14" fillId="25" borderId="0" xfId="0" applyFont="1" applyFill="1" applyNumberFormat="1"/>
    <xf numFmtId="1" fontId="15" fillId="26" borderId="0" xfId="0" applyFont="1" applyFill="1" applyNumberFormat="1"/>
    <xf numFmtId="0" fontId="16" fillId="27" borderId="0" xfId="0" applyFont="1" applyFill="1"/>
    <xf numFmtId="0" fontId="17" fillId="0" borderId="0" xfId="0" applyFont="1"/>
    <xf numFmtId="0" fontId="18" fillId="28" borderId="0" xfId="0" applyFont="1" applyFill="1"/>
    <xf numFmtId="0" fontId="19" fillId="29" borderId="0" xfId="0" applyFont="1" applyFill="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42.83203125" customWidth="1"/>
    <col min="2" max="2" width="60.83203125" customWidth="1"/>
  </cols>
  <sheetData>
    <row r="1">
      <c r="A1" s="3" t="str">
        <v>PLANEX Cuba — Plan de Negocios para propuestas de inversión extranjera</v>
      </c>
    </row>
    <row r="2">
      <c r="A2" s="4" t="str">
        <v>Metodología: Bases metodológicas GOC-2026-O57 (epígrafes 4.1–4.12) · Esquema 2.0.0</v>
      </c>
    </row>
    <row r="4">
      <c r="A4" s="2" t="str">
        <v>Proyecto:</v>
      </c>
      <c r="B4" s="2" t="str">
        <v>Clínica Estomatológica «Sonrisa Habana»</v>
      </c>
    </row>
    <row r="5">
      <c r="A5" s="2" t="str">
        <v>Denominación:</v>
      </c>
      <c r="B5" s="2" t="str">
        <v>Constitución de una empresa mixta para la prestación de servicios estomatológicos integrales en La Habana</v>
      </c>
    </row>
    <row r="6">
      <c r="A6" s="2" t="str">
        <v>Plantilla de origen:</v>
      </c>
      <c r="B6" s="2" t="str">
        <v>clinica</v>
      </c>
    </row>
    <row r="7">
      <c r="A7" s="2" t="str">
        <v>Fecha de exportación:</v>
      </c>
      <c r="B7" s="2" t="str">
        <v>25/10/2026, 23:01:53</v>
      </c>
    </row>
    <row r="8">
      <c r="A8" s="2" t="str">
        <v>Versión de esquema:</v>
      </c>
      <c r="B8" s="2" t="str">
        <v>2.0.0</v>
      </c>
    </row>
    <row r="10">
      <c r="A10" s="2" t="str">
        <v>Inversión total (kUSD):</v>
      </c>
      <c r="B10" s="5">
        <f>=Financiacion!$D$8</f>
        <v>1480</v>
      </c>
    </row>
    <row r="11">
      <c r="A11" s="2" t="str">
        <v>Aportaciones (kUSD):</v>
      </c>
      <c r="B11" s="6">
        <f>=Financiacion!$D$10</f>
        <v>1180</v>
      </c>
    </row>
    <row r="12">
      <c r="A12" s="2" t="str">
        <v>Ingresos totales año 1 (kUSD):</v>
      </c>
      <c r="B12" s="6">
        <f>=Proyecciones!D$7</f>
        <v>967.8</v>
      </c>
    </row>
    <row r="13">
      <c r="A13" s="2" t="str">
        <v>Utilidad después de impuestos año 1 (kUSD):</v>
      </c>
      <c r="B13" s="6">
        <f>=Proyecciones!D$24</f>
        <v>251.45682604306862</v>
      </c>
    </row>
    <row r="14">
      <c r="A14" s="2" t="str">
        <v>Recuperación de la INVERSIÓN TOTAL (FCFF, años):</v>
      </c>
      <c r="B14" s="7">
        <f>=FlujosCaja!$B$14</f>
        <v>3.463532275371478</v>
      </c>
    </row>
    <row r="15">
      <c r="A15" s="2" t="str">
        <v>Recuperación del CAPITAL APORTADO (FCFE, años):</v>
      </c>
      <c r="B15" s="7">
        <f>=FlujosCaja!$B$15</f>
        <v>3.216105035737436</v>
      </c>
    </row>
    <row r="16">
      <c r="A16" s="8" t="str">
        <v>Ambos indicadores se calculan en la hoja FlujosCaja por interpolación lineal del acumulado correspondiente.</v>
      </c>
    </row>
    <row r="18">
      <c r="A18" s="9" t="str">
        <v>EJEMPLO ILUSTRATIVO CON DATOS FICTICIOS. No constituye una propuesta aprobada ni acredita el cumplimiento de requisitos legales, tributarios, sanitarios o de inversión. Validar las cifras, supuestos, autorizaciones y requisitos aplicables antes de su presentación oficial.</v>
      </c>
    </row>
    <row r="19">
      <c r="A19" s="10" t="str">
        <v>La tasa del impuesto sobre utilidades es un supuesto de demostración editable: no constituye la tasa legal aplicable.</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B23"/>
  <sheetViews>
    <sheetView workbookViewId="0"/>
  </sheetViews>
  <cols>
    <col min="1" max="1" width="52.83203125" customWidth="1"/>
    <col min="2" max="2" width="20.83203125" customWidth="1"/>
  </cols>
  <sheetData>
    <row r="1">
      <c r="A1" s="3" t="str">
        <v>Resumen ejecutivo</v>
      </c>
    </row>
    <row r="2">
      <c r="A2" s="2" t="str">
        <v>Ejemplo ilustrativo de una propuesta de constitución de una empresa mixta entre un inversionista extranjero del sector de servicios de salud y una entidad nacional cubana, para la prestación de servicios estomatológicos integrales en La Habana. La propuesta contempla la rehabilitación y equipamiento de una instalación asistencial con 5 gabinetes, la incorporación de tecnologías de imagenología digital y laboratorio de prótesis, y la generación de empleo calificado. Todas las cifras de este ejemplo son datos ficticios de demostración de la aplicación: la síntesis cuantitativa del resumen se genera automáticamente desde el modelo financiero y se recalcula al cambiar cualquier parámetro o fórmula. Antes de cualquier presentación oficial deben sustituirse los supuestos y validarse las autoriza</v>
      </c>
    </row>
    <row r="4">
      <c r="A4" s="11" t="str">
        <v>Indicador</v>
      </c>
      <c r="B4" s="12" t="str">
        <v>Valor</v>
      </c>
    </row>
    <row r="5">
      <c r="A5" s="2" t="str">
        <v>Horizonte de análisis (años)</v>
      </c>
      <c r="B5" s="7">
        <v>10</v>
      </c>
    </row>
    <row r="6">
      <c r="A6" s="2" t="str">
        <v>Inversión total (kUSD)</v>
      </c>
      <c r="B6" s="6">
        <f>=Financiacion!$D$8</f>
        <v>1480</v>
      </c>
    </row>
    <row r="7">
      <c r="A7" s="2" t="str">
        <v>Aportaciones de los socios (kUSD)</v>
      </c>
      <c r="B7" s="6">
        <f>=Financiacion!$D$10</f>
        <v>1180</v>
      </c>
    </row>
    <row r="8">
      <c r="A8" s="2" t="str">
        <v>Ingresos totales año 1 (kUSD)</v>
      </c>
      <c r="B8" s="6">
        <f>=Proyecciones!D$7</f>
        <v>967.8</v>
      </c>
    </row>
    <row r="9">
      <c r="A9" s="2" t="str">
        <v>Utilidad después de impuestos año 1 (kUSD)</v>
      </c>
      <c r="B9" s="6">
        <f>=Proyecciones!D$24</f>
        <v>251.45682604306862</v>
      </c>
    </row>
    <row r="10">
      <c r="A10" s="2" t="str">
        <v>Utilidad neta acumulada años 1–N (kUSD)</v>
      </c>
      <c r="B10" s="6">
        <f>=SUM(Proyecciones!D24:M24)</f>
        <v>4433.337388376549</v>
      </c>
    </row>
    <row r="11">
      <c r="A11" s="2" t="str">
        <v>Beneficios directos al país — período completo (kUSD)</v>
      </c>
      <c r="B11" s="6">
        <f>=SUM(Proyecciones!C38:M38)</f>
        <v>4297.4462713942485</v>
      </c>
    </row>
    <row r="12">
      <c r="A12" s="2" t="str">
        <v>Beneficios directos al país — explotación, años 1–N (kUSD)</v>
      </c>
      <c r="B12" s="6">
        <f>=SUM(Proyecciones!D38:M38)</f>
        <v>4296.67103586262</v>
      </c>
    </row>
    <row r="13">
      <c r="A13" s="2" t="str">
        <v>Recuperación de la inversión total (FCFF, años)</v>
      </c>
      <c r="B13" s="7">
        <f>=FlujosCaja!$B$14</f>
        <v>3.463532275371478</v>
      </c>
    </row>
    <row r="14">
      <c r="A14" s="2" t="str">
        <v>Recuperación del capital aportado (FCFE, años)</v>
      </c>
      <c r="B14" s="7">
        <f>=FlujosCaja!$B$15</f>
        <v>3.216105035737436</v>
      </c>
    </row>
    <row r="15">
      <c r="A15" s="2" t="str">
        <v>Total de trabajadores (operación)</v>
      </c>
      <c r="B15" s="13">
        <v>27</v>
      </c>
    </row>
    <row r="16">
      <c r="A16" s="2" t="str">
        <v>Salario promedio anual (CUP)</v>
      </c>
      <c r="B16" s="14">
        <v>567111.1111111111</v>
      </c>
    </row>
    <row r="17">
      <c r="A17" s="8" t="str">
        <v>Recuperación FCFF (años, texto)</v>
      </c>
      <c r="B17" s="14" t="str">
        <v>3,5</v>
      </c>
    </row>
    <row r="18">
      <c r="A18" s="8" t="str">
        <v>Recuperación FCFE (años, texto)</v>
      </c>
      <c r="B18" s="14" t="str">
        <v>3,2</v>
      </c>
    </row>
    <row r="20">
      <c r="A20" s="8" t="str">
        <v>Notas:</v>
      </c>
    </row>
    <row r="21">
      <c r="A21" s="8" t="str">
        <v>Las cifras del resumen cuantitativo provienen del modelo de cálculo activo (análisis dinámico) y se actualizan al cambiar parámetros o fórmulas.</v>
      </c>
    </row>
    <row r="22">
      <c r="A22" s="8" t="str">
        <v>Los beneficios al país usan el MISMO cálculo en resumen y tabla (período completo incluye el año 0; el subtotal de explotación se etiqueta aparte).</v>
      </c>
    </row>
    <row r="23">
      <c r="A23" s="10" t="str">
        <v>EJEMPLO ILUSTRATIVO CON DATOS FICTICIOS — validar cifras y supuestos antes de un uso oficial.</v>
      </c>
    </row>
  </sheetData>
  <ignoredErrors>
    <ignoredError numberStoredAsText="1" sqref="A1:B23"/>
  </ignoredErrors>
</worksheet>
</file>

<file path=xl/worksheets/sheet3.xml><?xml version="1.0" encoding="utf-8"?>
<worksheet xmlns="http://schemas.openxmlformats.org/spreadsheetml/2006/main" xmlns:r="http://schemas.openxmlformats.org/officeDocument/2006/relationships">
  <dimension ref="A1:G31"/>
  <sheetViews>
    <sheetView workbookViewId="0"/>
  </sheetViews>
  <cols>
    <col min="1" max="1" width="30.83203125" customWidth="1"/>
    <col min="2" max="2" width="40.83203125" customWidth="1"/>
    <col min="3" max="3" width="12.83203125" customWidth="1"/>
    <col min="4" max="4" width="10.83203125" customWidth="1"/>
    <col min="5" max="5" width="70.83203125" customWidth="1"/>
    <col min="6" max="6" width="60.83203125" customWidth="1"/>
    <col min="7" max="7" width="12.83203125" customWidth="1"/>
  </cols>
  <sheetData>
    <row r="1">
      <c r="A1" s="3" t="str">
        <v>Parámetros de cálculo (Nivel A)</v>
      </c>
    </row>
    <row r="2">
      <c r="A2" s="12" t="str">
        <v>ID</v>
      </c>
      <c r="B2" s="12" t="str">
        <v>Nombre</v>
      </c>
      <c r="C2" s="12" t="str">
        <v>Valor</v>
      </c>
      <c r="D2" s="12" t="str">
        <v>Unidad</v>
      </c>
      <c r="E2" s="12" t="str">
        <v>Descripción</v>
      </c>
      <c r="F2" s="12" t="str">
        <v>Fuente / justificación</v>
      </c>
      <c r="G2" s="12" t="str">
        <v>Fecha ref.</v>
      </c>
    </row>
    <row r="3">
      <c r="A3" s="2" t="str">
        <v>tasa_impuesto_utilidades</v>
      </c>
      <c r="B3" s="2" t="str">
        <v>Tasa del impuesto sobre utilidades (demostrativa)</v>
      </c>
      <c r="C3" s="15">
        <v>0.35</v>
      </c>
      <c r="D3" s="2" t="str">
        <v>%</v>
      </c>
      <c r="E3" s="2" t="str">
        <v>Tasa aplicada a la utilidad antes de impuestos en la regla de demostración. Valor inicial 35 %, editable. No implica que sea la tasa legal vigente ni sustituye las reglas tributarias del negocio real.</v>
      </c>
      <c r="F3" s="2" t="str">
        <v>Supuesto de demostración editable. No constituye la tasa legal aplicable al negocio real: documente la fuente normativa y las condiciones antes de un uso oficial. [SUPUESTO DEMOSTRATIVO]</v>
      </c>
    </row>
    <row r="4">
      <c r="A4" s="2" t="str">
        <v>tipo_cambio</v>
      </c>
      <c r="B4" s="2" t="str">
        <v>Tipo de cambio (CUP por USD)</v>
      </c>
      <c r="C4" s="16">
        <v>743</v>
      </c>
      <c r="D4" s="2" t="str">
        <v>CUP/USD</v>
      </c>
      <c r="E4" s="2" t="str">
        <v>Conversión CUP → USD aplicada a los salarios y a las inversiones expresadas en CUP. Finalidad: expresar en miles de USD las partidas en CUP del estado de resultados, la inversión y los beneficios al país. Valor por defecto: 743 CUP/USD, tasa ilustrativa PENDIENTE DE VALIDACIÓN OFICIAL: antes de un uso oficial debe sustituirse por la tasa vigente y documentarse la fecha de referencia y la fuente oficial. La fecha de referencia indica el CORTE del supuesto ilustrativo (no una cotización observada) y no puede ser posterior a la fecha del documento: una cotización futura no se presenta como dato observado.</v>
      </c>
      <c r="F4" s="2" t="str">
        <v>Supuesto de demostración editable (743 CUP/USD, tasa ilustrativa pendiente de validación oficial; fecha de corte del supuesto: 2026-10-25). [SUPUESTO DEMOSTRATIVO]</v>
      </c>
      <c r="G4" s="2" t="str">
        <v>2026-10-25</v>
      </c>
    </row>
    <row r="5">
      <c r="A5" s="2" t="str">
        <v>tasa_interes</v>
      </c>
      <c r="B5" s="2" t="str">
        <v>Tasa de interés anual del crédito</v>
      </c>
      <c r="C5" s="17">
        <v>0.08</v>
      </c>
      <c r="D5" s="2" t="str">
        <v>%</v>
      </c>
      <c r="E5" s="2" t="str">
        <v>Interés nominal anual del crédito previsto.</v>
      </c>
      <c r="F5" s="2" t="str">
        <v>Supuesto editable según condiciones reales del financiamiento.</v>
      </c>
    </row>
    <row r="6">
      <c r="A6" s="2" t="str">
        <v>plazo_amortizacion</v>
      </c>
      <c r="B6" s="2" t="str">
        <v>Plazo de amortización del crédito</v>
      </c>
      <c r="C6" s="18">
        <v>5</v>
      </c>
      <c r="D6" s="2" t="str">
        <v>años</v>
      </c>
      <c r="E6" s="2" t="str">
        <v>Número de anualidades de amortización del principal tras el período de gracia.</v>
      </c>
      <c r="F6" s="2" t="str">
        <v>Supuesto editable.</v>
      </c>
    </row>
    <row r="7">
      <c r="A7" s="2" t="str">
        <v>periodo_gracia</v>
      </c>
      <c r="B7" s="2" t="str">
        <v>Período de gracia del crédito</v>
      </c>
      <c r="C7" s="18">
        <v>1</v>
      </c>
      <c r="D7" s="2" t="str">
        <v>años</v>
      </c>
      <c r="E7" s="2" t="str">
        <v>Años de gracia. La naturaleza (solo principal o total, con capitalización de intereses) se configura en 4.7 → calendario de deuda.</v>
      </c>
      <c r="F7" s="2" t="str">
        <v>Supuesto editable.</v>
      </c>
    </row>
    <row r="8">
      <c r="A8" s="2" t="str">
        <v>inflacion</v>
      </c>
      <c r="B8" s="2" t="str">
        <v>Inflación prevista (costos variables unitarios de servicios)</v>
      </c>
      <c r="C8" s="17">
        <v>0.04</v>
      </c>
      <c r="D8" s="2" t="str">
        <v>%</v>
      </c>
      <c r="E8" s="2" t="str">
        <v>Crecimiento anual aplicado EXCLUSIVAMENTE al costo variable unitario de cada servicio (regla «srv_costo_unitario_proy»). No afecta canon, servicios públicos, otros gastos fijos, aranceles, otros impuestos ni royalties, que se rigen por su propio parámetro de inflación de costos fijos. Afecta el estado de resultados y la caja (ambos).</v>
      </c>
      <c r="F8" s="2" t="str">
        <v>Supuesto editable.</v>
      </c>
    </row>
    <row r="9">
      <c r="A9" s="2" t="str">
        <v>inflacion_costos_fijos</v>
      </c>
      <c r="B9" s="2" t="str">
        <v>Inflación de costos fijos (contratos nominales)</v>
      </c>
      <c r="C9" s="17">
        <v>0</v>
      </c>
      <c r="D9" s="2" t="str">
        <v>%</v>
      </c>
      <c r="E9" s="2" t="str">
        <v>Crecimiento anual aplicado al canon, los servicios públicos, otros gastos fijos, aranceles, otros impuestos y royalties. Valor 0 % (por defecto) = HIPÓTESIS DE GASTOS NOMINALES CONSTANTES: cada partida fija permanece a su valor nominal inicial durante todo el horizonte. La hipótesis solo es válida si los contratos reales fijan importes nominales por todo el período (verificación contractual PENDIENTE, no una regla del modelo); no se califica automáticamente de conservadora: si los contratos efectivamente se indexan, mantener 0 % SUBESTIMA los costos y SOBREESTIMA el resultado, y el sentido del sesgo depende de cada partida. Con un valor &gt; 0 el informe presenta la sensibilidad de resultados frente a la indexación. Afecta el estado de resultados y la caja (ambos).</v>
      </c>
      <c r="F9" s="2" t="str">
        <v>Hipótesis de gastos nominales constantes, sujeta a prueba contractual: edítela solo con el sustento contractual correspondiente y declare la vigencia pactada de cada contrato.</v>
      </c>
    </row>
    <row r="10">
      <c r="A10" s="2" t="str">
        <v>crecimiento_precios</v>
      </c>
      <c r="B10" s="2" t="str">
        <v>Crecimiento anual de precios</v>
      </c>
      <c r="C10" s="17">
        <v>0.03</v>
      </c>
      <c r="D10" s="2" t="str">
        <v>%</v>
      </c>
      <c r="E10" s="2" t="str">
        <v>Variación anual prevista de los precios unitarios de los servicios.</v>
      </c>
      <c r="F10" s="2" t="str">
        <v>Supuesto editable.</v>
      </c>
    </row>
    <row r="11">
      <c r="A11" s="2" t="str">
        <v>crecimiento_volumen</v>
      </c>
      <c r="B11" s="2" t="str">
        <v>Variación anual del volumen (demanda)</v>
      </c>
      <c r="C11" s="17">
        <v>0.05</v>
      </c>
      <c r="D11" s="2" t="str">
        <v>%</v>
      </c>
      <c r="E11" s="2" t="str">
        <v>Crecimiento anual previsto de la DEMANDA de servicios. La producción real queda limitada por la capacidad instalada del escenario activo.</v>
      </c>
      <c r="F11" s="2" t="str">
        <v>Supuesto editable.</v>
      </c>
    </row>
    <row r="12">
      <c r="A12" s="2" t="str">
        <v>crecimiento_salarios</v>
      </c>
      <c r="B12" s="2" t="str">
        <v>Crecimiento anual de salarios</v>
      </c>
      <c r="C12" s="17">
        <v>0.05</v>
      </c>
      <c r="D12" s="2" t="str">
        <v>%</v>
      </c>
      <c r="E12" s="2" t="str">
        <v>Crecimiento anual previsto del salario promedio en CUP.</v>
      </c>
      <c r="F12" s="2" t="str">
        <v>Supuesto editable.</v>
      </c>
    </row>
    <row r="13">
      <c r="A13" s="2" t="str">
        <v>pct_gastos_admin</v>
      </c>
      <c r="B13" s="2" t="str">
        <v>Gastos administrativos (% de los ingresos)</v>
      </c>
      <c r="C13" s="17">
        <v>0.05</v>
      </c>
      <c r="D13" s="2" t="str">
        <v>%</v>
      </c>
      <c r="E13" s="2" t="str">
        <v>Porcentaje de los ingresos totales destinado a gastos administrativos.</v>
      </c>
      <c r="F13" s="2" t="str">
        <v>Supuesto editable.</v>
      </c>
    </row>
    <row r="14">
      <c r="A14" s="2" t="str">
        <v>pct_mantenimiento</v>
      </c>
      <c r="B14" s="2" t="str">
        <v>Mantenimiento (% de la inversión fija)</v>
      </c>
      <c r="C14" s="17">
        <v>0.03</v>
      </c>
      <c r="D14" s="2" t="str">
        <v>%</v>
      </c>
      <c r="E14" s="2" t="str">
        <v>Porcentaje de la inversión fija destinado anualmente a mantenimiento (años de operación).</v>
      </c>
      <c r="F14" s="2" t="str">
        <v>Supuesto editable.</v>
      </c>
    </row>
    <row r="15">
      <c r="A15" s="2" t="str">
        <v>factor_costo_laboral</v>
      </c>
      <c r="B15" s="2" t="str">
        <v>Factor de costo laboral</v>
      </c>
      <c r="C15" s="16">
        <v>1</v>
      </c>
      <c r="D15" s="2" t="str">
        <v>×</v>
      </c>
      <c r="E15" s="2" t="str">
        <v>Multiplicador sobre los salarios para reflejar contribuciones y cargas del empleador (1.0 = solo salarios).</v>
      </c>
      <c r="F15" s="2" t="str">
        <v>Supuesto editable. Validar el tratamiento aplicable.</v>
      </c>
    </row>
    <row r="16">
      <c r="A16" s="2" t="str">
        <v>pct_parte_cubana</v>
      </c>
      <c r="B16" s="2" t="str">
        <v>Participación de la parte cubana en el capital</v>
      </c>
      <c r="C16" s="17">
        <v>0.4</v>
      </c>
      <c r="D16" s="2" t="str">
        <v>%</v>
      </c>
      <c r="E16" s="2" t="str">
        <v>Porcentaje del capital social aportado por el socio nacional. PARTICIPACIÓN (composición del capital) ≠ porcentaje de reparto. Verifique la coherencia con la tabla de aportaciones (el diagnóstico la comprueba).</v>
      </c>
      <c r="F16" s="2" t="str">
        <v>Supuesto editable según estructura acordada.</v>
      </c>
    </row>
    <row r="17">
      <c r="A17" s="2" t="str">
        <v>pct_reparto_dividendos</v>
      </c>
      <c r="B17" s="2" t="str">
        <v>Reparto de dividendos (% de la utilidad distribuible)</v>
      </c>
      <c r="C17" s="17">
        <v>0.5</v>
      </c>
      <c r="D17" s="2" t="str">
        <v>%</v>
      </c>
      <c r="E17" s="2" t="str">
        <v>Fracción de la utilidad distribuible (tras absorber pérdidas acumuladas y constituir la reserva) que se propone distribuir. REPARTO ≠ participación.</v>
      </c>
      <c r="F17" s="2" t="str">
        <v>Supuesto de política de distribución editable (debe validarse jurídicamente para la modalidad del negocio). [SUPUESTO DEMOSTRATIVO]</v>
      </c>
    </row>
    <row r="18">
      <c r="A18" s="2" t="str">
        <v>pct_reserva_legal</v>
      </c>
      <c r="B18" s="2" t="str">
        <v>Reserva sobre la base distribuible acumulada</v>
      </c>
      <c r="C18" s="17">
        <v>0.1</v>
      </c>
      <c r="D18" s="2" t="str">
        <v>%</v>
      </c>
      <c r="E18" s="2" t="str">
        <v>Fracción de la base distribuible que se retiene como reserva antes de calcular los dividendos propuestos. BASE MATEMÁTICA EXACTA: base_t = MAX(0, UDI del año t + saldo acumulable de ejercicios anteriores — utilidades retenidas netas de pérdidas, de reservas ya constituidas y de repartos ya pagados —); reserva_t = pct_reserva_legal × base_t. La reserva NO se calcula solo sobre la utilidad del año: la base incluye el saldo acumulado de ejercicios anteriores. Supuesto PENDIENTE DE VALIDACIÓN JURÍDICA: la exigencia legal de constituir reservas, su porcentaje y su base exacta deben confirmarse con la normativa societaria aplicable y con la política deseada por el propietario.</v>
      </c>
      <c r="F18" s="2" t="str">
        <v>Supuesto de demostración editable (reserva del 10 % sobre la base distribuible acumulada, no sobre la utilidad aislada del ejercicio). Validación jurídica pendiente. [SUPUESTO DEMOSTRATIVO]</v>
      </c>
    </row>
    <row r="19">
      <c r="A19" s="2" t="str">
        <v>pct_recuperacion_capital_trabajo</v>
      </c>
      <c r="B19" s="2" t="str">
        <v>Recuperación del capital de trabajo al cierre</v>
      </c>
      <c r="C19" s="17">
        <v>0</v>
      </c>
      <c r="D19" s="2" t="str">
        <v>%</v>
      </c>
      <c r="E19" s="2" t="str">
        <v>Fracción del capital de trabajo inicial que el modelo libera en el ÚLTIMO año del horizonte. 0 = tratamiento conservador (no se supone recuperación). Cualquier valor &gt; 0 debe justificarse documentalmente.</v>
      </c>
      <c r="F19" s="2" t="str">
        <v>Regla explícita y conservadora: 0 % (sin recuperación supuesta). Edítela solo con justificación.</v>
      </c>
    </row>
    <row r="20">
      <c r="A20" s="2" t="str">
        <v>servicios_publicos_anual_k</v>
      </c>
      <c r="B20" s="2" t="str">
        <v>Servicios públicos anuales</v>
      </c>
      <c r="C20" s="16">
        <v>40</v>
      </c>
      <c r="D20" s="2" t="str">
        <v>kUSD/año</v>
      </c>
      <c r="E20" s="2" t="str">
        <v>Agua, electricidad y portadores energéticos por año de operación (miles de USD).</v>
      </c>
      <c r="F20" s="2" t="str">
        <v>Supuesto editable.</v>
      </c>
    </row>
    <row r="21">
      <c r="A21" s="2" t="str">
        <v>canon_anual_k</v>
      </c>
      <c r="B21" s="2" t="str">
        <v>Canon anual</v>
      </c>
      <c r="C21" s="16">
        <v>30</v>
      </c>
      <c r="D21" s="2" t="str">
        <v>kUSD/año</v>
      </c>
      <c r="E21" s="2" t="str">
        <v>Pago anual por el derecho de uso del suelo/instalaciones en años de operación (miles de USD).</v>
      </c>
      <c r="F21" s="2" t="str">
        <v>Supuesto editable según contrato.</v>
      </c>
    </row>
    <row r="22">
      <c r="A22" s="2" t="str">
        <v>otros_gastos_fijos_k</v>
      </c>
      <c r="B22" s="2" t="str">
        <v>Otros gastos fijos anuales</v>
      </c>
      <c r="C22" s="16">
        <v>10</v>
      </c>
      <c r="D22" s="2" t="str">
        <v>kUSD/año</v>
      </c>
      <c r="E22" s="2" t="str">
        <v>Gastos fijos de operación no incluidos en otras partidas (seguros, comunicaciones, otros) en miles de USD.</v>
      </c>
      <c r="F22" s="2" t="str">
        <v>Supuesto editable.</v>
      </c>
    </row>
    <row r="23">
      <c r="A23" s="2" t="str">
        <v>credito_monto_k</v>
      </c>
      <c r="B23" s="2" t="str">
        <v>Monto del crédito externo</v>
      </c>
      <c r="C23" s="16">
        <v>300</v>
      </c>
      <c r="D23" s="2" t="str">
        <v>kUSD</v>
      </c>
      <c r="E23" s="2" t="str">
        <v>Principal del crédito externo previsto (miles de USD). Desembolso, gracia y amortización: 4.7 → calendario de deuda.</v>
      </c>
      <c r="F23" s="2" t="str">
        <v>Supuesto editable.</v>
      </c>
    </row>
    <row r="24">
      <c r="A24" s="2" t="str">
        <v>otras_fuentes_k</v>
      </c>
      <c r="B24" s="2" t="str">
        <v>Otras fuentes de financiamiento</v>
      </c>
      <c r="C24" s="16">
        <v>0</v>
      </c>
      <c r="D24" s="2" t="str">
        <v>kUSD</v>
      </c>
      <c r="E24" s="2" t="str">
        <v>Fuentes disponibles distintas de aportaciones y crédito (miles de USD).</v>
      </c>
      <c r="F24" s="2" t="str">
        <v>Supuesto editable.</v>
      </c>
    </row>
    <row r="25">
      <c r="A25" s="2" t="str">
        <v>capital_trabajo_k</v>
      </c>
      <c r="B25" s="2" t="str">
        <v>Capital de trabajo inicial</v>
      </c>
      <c r="C25" s="16">
        <v>235</v>
      </c>
      <c r="D25" s="2" t="str">
        <v>kUSD</v>
      </c>
      <c r="E25" s="2" t="str">
        <v>Capital de trabajo dentro del costo total de la inversión inicial (miles de USD). Se desembolsa en el año 0; su recuperación al cierre solo entra si el parámetro de recuperación lo indica.</v>
      </c>
      <c r="F25" s="2" t="str">
        <v>Supuesto editable.</v>
      </c>
    </row>
    <row r="26">
      <c r="A26" s="2" t="str">
        <v>aranceles_anual_k</v>
      </c>
      <c r="B26" s="2" t="str">
        <v>Aranceles anuales</v>
      </c>
      <c r="C26" s="16">
        <v>8</v>
      </c>
      <c r="D26" s="2" t="str">
        <v>kUSD/año</v>
      </c>
      <c r="E26" s="2" t="str">
        <v>Derechos aduaneros previstos por año de operación (miles de USD).</v>
      </c>
      <c r="F26" s="2" t="str">
        <v>Supuesto editable.</v>
      </c>
    </row>
    <row r="27">
      <c r="A27" s="2" t="str">
        <v>otros_impuestos_anual_k</v>
      </c>
      <c r="B27" s="2" t="str">
        <v>Otros impuestos y tasas anuales</v>
      </c>
      <c r="C27" s="16">
        <v>5</v>
      </c>
      <c r="D27" s="2" t="str">
        <v>kUSD/año</v>
      </c>
      <c r="E27" s="2" t="str">
        <v>Impuestos, tasas y contribuciones distintas del impuesto sobre utilidades, por año de operación (miles de USD).</v>
      </c>
      <c r="F27" s="2" t="str">
        <v>Supuesto editable.</v>
      </c>
    </row>
    <row r="28">
      <c r="A28" s="2" t="str">
        <v>royalties_anual_k</v>
      </c>
      <c r="B28" s="2" t="str">
        <v>Royalties anuales</v>
      </c>
      <c r="C28" s="16">
        <v>0</v>
      </c>
      <c r="D28" s="2" t="str">
        <v>kUSD/año</v>
      </c>
      <c r="E28" s="2" t="str">
        <v>Pagos anuales por regalías tecnológicas o de marca al país (miles de USD).</v>
      </c>
      <c r="F28" s="2" t="str">
        <v>Supuesto editable.</v>
      </c>
    </row>
    <row r="29">
      <c r="A29" s="2" t="str">
        <v>otros_beneficios_pais_anual_k</v>
      </c>
      <c r="B29" s="2" t="str">
        <v>Otros ingresos anuales al país</v>
      </c>
      <c r="C29" s="16">
        <v>0</v>
      </c>
      <c r="D29" s="2" t="str">
        <v>kUSD/año</v>
      </c>
      <c r="E29" s="2" t="str">
        <v>Otros aportes directos al país no contemplados en las partidas anteriores (miles de USD, años de operación).</v>
      </c>
      <c r="F29" s="2" t="str">
        <v>Supuesto editable.</v>
      </c>
    </row>
    <row r="30">
      <c r="A30" s="2" t="str">
        <v>umbral_utilizacion_capacidad</v>
      </c>
      <c r="B30" s="2" t="str">
        <v>Umbral de utilización de recursos (análisis)</v>
      </c>
      <c r="C30" s="17">
        <v>0.9</v>
      </c>
      <c r="D30" s="2" t="str">
        <v>%</v>
      </c>
      <c r="E30" s="2" t="str">
        <v>Umbral configurable del análisis: porcentaje de utilización de un recurso a partir del cual el texto analítico advierte saturación. No interviene en ningún cálculo: solo califica los análisis.</v>
      </c>
      <c r="F30" s="2" t="str">
        <v>Política de análisis configurable.</v>
      </c>
    </row>
    <row r="31">
      <c r="A31" s="2" t="str">
        <v>umbral_margen_minimo</v>
      </c>
      <c r="B31" s="2" t="str">
        <v>Umbral de margen de contribución mínimo (análisis)</v>
      </c>
      <c r="C31" s="17">
        <v>0.15</v>
      </c>
      <c r="D31" s="2" t="str">
        <v>%</v>
      </c>
      <c r="E31" s="2" t="str">
        <v>Margen sobre ingresos por debajo del cual el análisis advierte que una línea de servicio aporta poco margen. Solo califica los análisis.</v>
      </c>
      <c r="F31" s="2" t="str">
        <v>Política de análisis configurable.</v>
      </c>
    </row>
  </sheetData>
  <ignoredErrors>
    <ignoredError numberStoredAsText="1" sqref="A1:G31"/>
  </ignoredErrors>
</worksheet>
</file>

<file path=xl/worksheets/sheet4.xml><?xml version="1.0" encoding="utf-8"?>
<worksheet xmlns="http://schemas.openxmlformats.org/spreadsheetml/2006/main" xmlns:r="http://schemas.openxmlformats.org/officeDocument/2006/relationships">
  <dimension ref="A1:I26"/>
  <sheetViews>
    <sheetView workbookViewId="0"/>
  </sheetViews>
  <cols>
    <col min="1" max="1" width="52.83203125" customWidth="1"/>
    <col min="2" max="2" width="16.83203125" customWidth="1"/>
    <col min="3" max="3" width="10.83203125" customWidth="1"/>
    <col min="4" max="4" width="12.83203125" customWidth="1"/>
    <col min="5" max="5" width="12.83203125" customWidth="1"/>
    <col min="6" max="6" width="14.83203125" customWidth="1"/>
    <col min="7" max="7" width="10.83203125" customWidth="1"/>
    <col min="8" max="8" width="14.83203125" customWidth="1"/>
    <col min="9" max="9" width="40.83203125" customWidth="1"/>
  </cols>
  <sheetData>
    <row r="1">
      <c r="A1" s="3" t="str">
        <v>Inversiones (4.10) — registro de activos</v>
      </c>
    </row>
    <row r="3">
      <c r="A3" s="12" t="str">
        <v>Concepto</v>
      </c>
      <c r="B3" s="12" t="str">
        <v>Categoría</v>
      </c>
      <c r="C3" s="12" t="str">
        <v>Moneda</v>
      </c>
      <c r="D3" s="12" t="str">
        <v>Monto</v>
      </c>
      <c r="E3" s="12" t="str">
        <v>Vida útil (años)</v>
      </c>
      <c r="F3" s="12" t="str">
        <v>Disponible desde año</v>
      </c>
      <c r="G3" s="12" t="str">
        <v>Residual %</v>
      </c>
      <c r="H3" s="12" t="str">
        <v>Dep. anual (calendario)</v>
      </c>
      <c r="I3" s="12" t="str">
        <v>Observación</v>
      </c>
    </row>
    <row r="4">
      <c r="A4" s="17" t="str">
        <v>Estudios de factibilidad y gastos de constitución</v>
      </c>
      <c r="B4" s="17" t="str">
        <v>gastos_previos</v>
      </c>
      <c r="C4" s="17" t="str">
        <v>USD</v>
      </c>
      <c r="D4" s="16">
        <v>25</v>
      </c>
      <c r="E4" s="19">
        <v>0</v>
      </c>
      <c r="F4" s="19">
        <v>0</v>
      </c>
      <c r="G4" s="17">
        <v>0</v>
      </c>
      <c r="H4" s="6">
        <f>=IF(AND(B4="inversion_fija",E4&gt;0),IF(C4="CUP",D4/Parametros!$C$4,D4)*(1-G4)/E4,0)</f>
        <v>0</v>
      </c>
      <c r="I4" s="2" t="str">
        <v>Ficticio. No incluye el personal de montaje (que se paga como gasto del año 0).</v>
      </c>
    </row>
    <row r="5">
      <c r="A5" s="17" t="str">
        <v>Licencias, registros y autorizaciones sanitarias</v>
      </c>
      <c r="B5" s="17" t="str">
        <v>gastos_previos</v>
      </c>
      <c r="C5" s="17" t="str">
        <v>USD</v>
      </c>
      <c r="D5" s="16">
        <v>12</v>
      </c>
      <c r="E5" s="19">
        <v>0</v>
      </c>
      <c r="F5" s="19">
        <v>0</v>
      </c>
      <c r="G5" s="17">
        <v>0</v>
      </c>
      <c r="H5" s="6">
        <f>=IF(AND(B5="inversion_fija",E5&gt;0),IF(C5="CUP",D5/Parametros!$C$4,D5)*(1-G5)/E5,0)</f>
        <v>0</v>
      </c>
      <c r="I5" s="2" t="str">
        <v>Ficticio</v>
      </c>
    </row>
    <row r="6">
      <c r="A6" s="17" t="str">
        <v>Gastos de puesta en marcha (trámites, capacitación formal, materiales de prueba)</v>
      </c>
      <c r="B6" s="17" t="str">
        <v>gastos_previos</v>
      </c>
      <c r="C6" s="17" t="str">
        <v>USD</v>
      </c>
      <c r="D6" s="16">
        <v>8</v>
      </c>
      <c r="E6" s="19">
        <v>0</v>
      </c>
      <c r="F6" s="19">
        <v>0</v>
      </c>
      <c r="G6" s="17">
        <v>0</v>
      </c>
      <c r="H6" s="6">
        <f>=IF(AND(B6="inversion_fija",E6&gt;0),IF(C6="CUP",D6/Parametros!$C$4,D6)*(1-G6)/E6,0)</f>
        <v>0</v>
      </c>
      <c r="I6" s="2" t="str">
        <v>Ficticio. Sin doble contabilización: la nómina de montaje se registra como costo del año 0.</v>
      </c>
    </row>
    <row r="7">
      <c r="A7" s="17" t="str">
        <v>Equipamiento clínico (5 sillones e instrumental)</v>
      </c>
      <c r="B7" s="17" t="str">
        <v>inversion_fija</v>
      </c>
      <c r="C7" s="17" t="str">
        <v>USD</v>
      </c>
      <c r="D7" s="16">
        <v>520</v>
      </c>
      <c r="E7" s="19">
        <v>10</v>
      </c>
      <c r="F7" s="19">
        <v>1</v>
      </c>
      <c r="G7" s="17">
        <v>0</v>
      </c>
      <c r="H7" s="6">
        <f>=IF(AND(B7="inversion_fija",E7&gt;0),IF(C7="CUP",D7/Parametros!$C$4,D7)*(1-G7)/E7,0)</f>
        <v>52</v>
      </c>
      <c r="I7" s="2" t="str">
        <v>Ficticio</v>
      </c>
    </row>
    <row r="8">
      <c r="A8" s="17" t="str">
        <v>Equipos de imagenología dental (2)</v>
      </c>
      <c r="B8" s="17" t="str">
        <v>inversion_fija</v>
      </c>
      <c r="C8" s="17" t="str">
        <v>USD</v>
      </c>
      <c r="D8" s="16">
        <v>180</v>
      </c>
      <c r="E8" s="19">
        <v>10</v>
      </c>
      <c r="F8" s="19">
        <v>1</v>
      </c>
      <c r="G8" s="17">
        <v>0</v>
      </c>
      <c r="H8" s="6">
        <f>=IF(AND(B8="inversion_fija",E8&gt;0),IF(C8="CUP",D8/Parametros!$C$4,D8)*(1-G8)/E8,0)</f>
        <v>18</v>
      </c>
      <c r="I8" s="2" t="str">
        <v>Ficticio</v>
      </c>
    </row>
    <row r="9">
      <c r="A9" s="17" t="str">
        <v>Laboratorio de prótesis</v>
      </c>
      <c r="B9" s="17" t="str">
        <v>inversion_fija</v>
      </c>
      <c r="C9" s="17" t="str">
        <v>USD</v>
      </c>
      <c r="D9" s="16">
        <v>95</v>
      </c>
      <c r="E9" s="19">
        <v>10</v>
      </c>
      <c r="F9" s="19">
        <v>1</v>
      </c>
      <c r="G9" s="17">
        <v>0</v>
      </c>
      <c r="H9" s="6">
        <f>=IF(AND(B9="inversion_fija",E9&gt;0),IF(C9="CUP",D9/Parametros!$C$4,D9)*(1-G9)/E9,0)</f>
        <v>9.5</v>
      </c>
      <c r="I9" s="2" t="str">
        <v>Ficticio</v>
      </c>
    </row>
    <row r="10">
      <c r="A10" s="17" t="str">
        <v>Equipamiento de esterilización y compresores</v>
      </c>
      <c r="B10" s="17" t="str">
        <v>inversion_fija</v>
      </c>
      <c r="C10" s="17" t="str">
        <v>USD</v>
      </c>
      <c r="D10" s="16">
        <v>85</v>
      </c>
      <c r="E10" s="19">
        <v>10</v>
      </c>
      <c r="F10" s="19">
        <v>1</v>
      </c>
      <c r="G10" s="17">
        <v>0</v>
      </c>
      <c r="H10" s="6">
        <f>=IF(AND(B10="inversion_fija",E10&gt;0),IF(C10="CUP",D10/Parametros!$C$4,D10)*(1-G10)/E10,0)</f>
        <v>8.5</v>
      </c>
      <c r="I10" s="2" t="str">
        <v>Ficticio</v>
      </c>
    </row>
    <row r="11">
      <c r="A11" s="17" t="str">
        <v>Mobiliario clínico y de oficina</v>
      </c>
      <c r="B11" s="17" t="str">
        <v>inversion_fija</v>
      </c>
      <c r="C11" s="17" t="str">
        <v>USD</v>
      </c>
      <c r="D11" s="16">
        <v>60</v>
      </c>
      <c r="E11" s="19">
        <v>8</v>
      </c>
      <c r="F11" s="19">
        <v>1</v>
      </c>
      <c r="G11" s="17">
        <v>0</v>
      </c>
      <c r="H11" s="6">
        <f>=IF(AND(B11="inversion_fija",E11&gt;0),IF(C11="CUP",D11/Parametros!$C$4,D11)*(1-G11)/E11,0)</f>
        <v>7.5</v>
      </c>
      <c r="I11" s="2" t="str">
        <v>Ficticio</v>
      </c>
    </row>
    <row r="12">
      <c r="A12" s="17" t="str">
        <v>Informática y software de gestión clínica</v>
      </c>
      <c r="B12" s="17" t="str">
        <v>inversion_fija</v>
      </c>
      <c r="C12" s="17" t="str">
        <v>USD</v>
      </c>
      <c r="D12" s="16">
        <v>35</v>
      </c>
      <c r="E12" s="19">
        <v>5</v>
      </c>
      <c r="F12" s="19">
        <v>1</v>
      </c>
      <c r="G12" s="17">
        <v>0</v>
      </c>
      <c r="H12" s="6">
        <f>=IF(AND(B12="inversion_fija",E12&gt;0),IF(C12="CUP",D12/Parametros!$C$4,D12)*(1-G12)/E12,0)</f>
        <v>7</v>
      </c>
      <c r="I12" s="2" t="str">
        <v>Ficticio</v>
      </c>
    </row>
    <row r="13">
      <c r="A13" s="17" t="str">
        <v>Adecuación y montaje de instalaciones</v>
      </c>
      <c r="B13" s="17" t="str">
        <v>inversion_fija</v>
      </c>
      <c r="C13" s="17" t="str">
        <v>USD</v>
      </c>
      <c r="D13" s="16">
        <v>180</v>
      </c>
      <c r="E13" s="19">
        <v>20</v>
      </c>
      <c r="F13" s="19">
        <v>1</v>
      </c>
      <c r="G13" s="17">
        <v>0</v>
      </c>
      <c r="H13" s="6">
        <f>=IF(AND(B13="inversion_fija",E13&gt;0),IF(C13="CUP",D13/Parametros!$C$4,D13)*(1-G13)/E13,0)</f>
        <v>9</v>
      </c>
      <c r="I13" s="2" t="str">
        <v>Ficticio (quedará valor neto en libros al cierre del horizonte; el diagnóstico lo señala).</v>
      </c>
    </row>
    <row r="14">
      <c r="A14" s="17" t="str">
        <v>Vehículos (ver desglose)</v>
      </c>
      <c r="B14" s="17" t="str">
        <v>inversion_fija</v>
      </c>
      <c r="C14" s="17" t="str">
        <v>USD</v>
      </c>
      <c r="D14" s="16">
        <v>45</v>
      </c>
      <c r="E14" s="19">
        <v>8</v>
      </c>
      <c r="F14" s="19">
        <v>1</v>
      </c>
      <c r="G14" s="17">
        <v>0</v>
      </c>
      <c r="H14" s="6">
        <f>=IF(AND(B14="inversion_fija",E14&gt;0),IF(C14="CUP",D14/Parametros!$C$4,D14)*(1-G14)/E14,0)</f>
        <v>5.625</v>
      </c>
      <c r="I14" s="2" t="str">
        <v>Ficticio</v>
      </c>
    </row>
    <row r="16">
      <c r="A16" s="20" t="str">
        <v>Subtotal gastos previos (USD)</v>
      </c>
      <c r="D16" s="21">
        <f>=SUMIFS($D$4:$D$14,$B$4:$B$14,"gastos_previos",$C$4:$C$14,"USD")</f>
        <v>0</v>
      </c>
    </row>
    <row r="17">
      <c r="A17" s="22" t="str">
        <v>Subtotal inversión fija (USD)</v>
      </c>
      <c r="D17" s="21">
        <f>=SUMIFS($D$4:$D$14,$B$4:$B$14,"inversion_fija",$C$4:$C$14,"USD")</f>
        <v>0</v>
      </c>
    </row>
    <row r="18">
      <c r="A18" s="22" t="str">
        <v>Subtotal inversión fija (CUP)</v>
      </c>
      <c r="D18" s="21">
        <f>=SUMIFS($D$4:$D$14,$B$4:$B$14,"inversion_fija",$C$4:$C$14,"CUP")</f>
        <v>0</v>
      </c>
    </row>
    <row r="19">
      <c r="A19" s="22" t="str">
        <v>Capital de trabajo (parámetro)</v>
      </c>
      <c r="D19" s="21">
        <f>=Parametros!$C$25</f>
        <v>235</v>
      </c>
    </row>
    <row r="20">
      <c r="A20" s="22" t="str">
        <v>INVERSIÓN TOTAL (regla del motor)</v>
      </c>
      <c r="D20" s="21">
        <f>=Financiacion!$D$8</f>
        <v>1480</v>
      </c>
    </row>
    <row r="22">
      <c r="A22" s="3" t="str">
        <v>Desglose de vehículos</v>
      </c>
    </row>
    <row r="23">
      <c r="A23" s="12" t="str">
        <v>Tipo</v>
      </c>
      <c r="B23" s="12" t="str">
        <v>Cantidad</v>
      </c>
      <c r="C23" s="12" t="str">
        <v>Monto (kUSD)</v>
      </c>
    </row>
    <row r="24">
      <c r="A24" s="17" t="str">
        <v>Automóvil ligero (dirección y gestión)</v>
      </c>
      <c r="B24" s="19">
        <v>1</v>
      </c>
      <c r="C24" s="16">
        <v>25</v>
      </c>
    </row>
    <row r="25">
      <c r="A25" s="16" t="str">
        <v>Microbús (transporte de personal y pacientes)</v>
      </c>
      <c r="B25" s="19">
        <v>1</v>
      </c>
      <c r="C25" s="16">
        <v>20</v>
      </c>
    </row>
    <row r="26">
      <c r="A26" s="22" t="str">
        <v>Total vehículos</v>
      </c>
      <c r="C26" s="21">
        <f>=SUM(C24:C25)</f>
        <v>45</v>
      </c>
    </row>
  </sheetData>
  <autoFilter ref="A3:I311"/>
  <ignoredErrors>
    <ignoredError numberStoredAsText="1" sqref="A1:I26"/>
  </ignoredErrors>
</worksheet>
</file>

<file path=xl/worksheets/sheet5.xml><?xml version="1.0" encoding="utf-8"?>
<worksheet xmlns="http://schemas.openxmlformats.org/spreadsheetml/2006/main" xmlns:r="http://schemas.openxmlformats.org/officeDocument/2006/relationships">
  <dimension ref="A1:U16"/>
  <sheetViews>
    <sheetView workbookViewId="0"/>
  </sheetViews>
  <cols>
    <col min="1" max="1" width="10.83203125" customWidth="1"/>
    <col min="2" max="2" width="44.83203125" customWidth="1"/>
    <col min="3" max="3" width="8.83203125" customWidth="1"/>
    <col min="4" max="4" width="10.83203125" customWidth="1"/>
    <col min="5" max="5" width="8.83203125" customWidth="1"/>
    <col min="6" max="6" width="10.83203125" customWidth="1"/>
    <col min="7" max="7" width="10.83203125" customWidth="1"/>
    <col min="8" max="8" width="12.83203125" customWidth="1"/>
    <col min="9" max="9" width="9.83203125" customWidth="1"/>
    <col min="10" max="10" width="9.83203125" customWidth="1"/>
    <col min="11" max="11" width="9.83203125" customWidth="1"/>
    <col min="12" max="12" width="9.83203125" customWidth="1"/>
    <col min="13" max="13" width="9.83203125" customWidth="1"/>
    <col min="14" max="14" width="9.83203125" customWidth="1"/>
    <col min="15" max="15" width="9.83203125" customWidth="1"/>
    <col min="16" max="16" width="9.83203125" customWidth="1"/>
    <col min="17" max="17" width="9.83203125" customWidth="1"/>
    <col min="18" max="18" width="9.83203125" customWidth="1"/>
    <col min="19" max="19" width="9.83203125" customWidth="1"/>
    <col min="20" max="20" width="10.83203125" customWidth="1"/>
    <col min="21" max="21" width="10.83203125" customWidth="1"/>
  </cols>
  <sheetData>
    <row r="1">
      <c r="A1" s="3" t="str">
        <v>Depreciación por activo (misión §5) — miles de USD</v>
      </c>
    </row>
    <row r="2">
      <c r="A2" s="8" t="str">
        <v>Método lineal por activo: cuota = base × (1 − residual) / vida; deprecia solo desde el año de disponibilidad y la acumulada se limita a la base depreciable (MIN contra lo acumulado).</v>
      </c>
    </row>
    <row r="3">
      <c r="A3" s="12" t="str">
        <v>ID</v>
      </c>
      <c r="B3" s="12" t="str">
        <v>Concepto</v>
      </c>
      <c r="C3" s="12" t="str">
        <v>Moneda</v>
      </c>
      <c r="D3" s="12" t="str">
        <v>Monto</v>
      </c>
      <c r="E3" s="12" t="str">
        <v>Vida útil</v>
      </c>
      <c r="F3" s="12" t="str">
        <v>Disponible</v>
      </c>
      <c r="G3" s="12" t="str">
        <v>Residual %</v>
      </c>
      <c r="H3" s="12" t="str">
        <v>Base depreciable</v>
      </c>
      <c r="I3" s="12" t="str">
        <v>Año 0</v>
      </c>
      <c r="J3" s="12" t="str">
        <v>Año 1</v>
      </c>
      <c r="K3" s="12" t="str">
        <v>Año 2</v>
      </c>
      <c r="L3" s="12" t="str">
        <v>Año 3</v>
      </c>
      <c r="M3" s="12" t="str">
        <v>Año 4</v>
      </c>
      <c r="N3" s="12" t="str">
        <v>Año 5</v>
      </c>
      <c r="O3" s="12" t="str">
        <v>Año 6</v>
      </c>
      <c r="P3" s="12" t="str">
        <v>Año 7</v>
      </c>
      <c r="Q3" s="12" t="str">
        <v>Año 8</v>
      </c>
      <c r="R3" s="12" t="str">
        <v>Año 9</v>
      </c>
      <c r="S3" s="12" t="str">
        <v>Año 10</v>
      </c>
      <c r="T3" s="12" t="str">
        <v>Acumulada</v>
      </c>
      <c r="U3" s="12" t="str">
        <v>VNL</v>
      </c>
    </row>
    <row r="4">
      <c r="A4" s="2" t="str">
        <v>iv-4</v>
      </c>
      <c r="B4" s="2" t="str">
        <v>Equipamiento clínico (5 sillones e instrumental)</v>
      </c>
      <c r="C4" s="2" t="str">
        <v>USD</v>
      </c>
      <c r="D4" s="6">
        <f>=Inversion!$D$7</f>
        <v>520</v>
      </c>
      <c r="E4" s="13">
        <f>=Inversion!$E$7</f>
        <v>10</v>
      </c>
      <c r="F4" s="13">
        <f>=Inversion!$F$7</f>
        <v>1</v>
      </c>
      <c r="G4" s="23">
        <f>=Inversion!$G$7</f>
        <v>0</v>
      </c>
      <c r="H4" s="6">
        <f>=IF(C4="CUP",D4/Parametros!$C$4,D4)*(1-G4)</f>
        <v>520</v>
      </c>
      <c r="I4" s="6">
        <f>=IF(AND(I$3&gt;=$F4,I$3&lt;$F4+$E4),MIN($H4/$E4,$H4),0)</f>
        <v>0</v>
      </c>
      <c r="J4" s="6">
        <f>=IF(AND(J$3&gt;=$F4,J$3&lt;$F4+$E4),MIN($H4/$E4,$H4-SUM($I4:I4)),0)</f>
        <v>52</v>
      </c>
      <c r="K4" s="6">
        <f>=IF(AND(K$3&gt;=$F4,K$3&lt;$F4+$E4),MIN($H4/$E4,$H4-SUM($I4:J4)),0)</f>
        <v>52</v>
      </c>
      <c r="L4" s="6">
        <f>=IF(AND(L$3&gt;=$F4,L$3&lt;$F4+$E4),MIN($H4/$E4,$H4-SUM($I4:K4)),0)</f>
        <v>52</v>
      </c>
      <c r="M4" s="6">
        <f>=IF(AND(M$3&gt;=$F4,M$3&lt;$F4+$E4),MIN($H4/$E4,$H4-SUM($I4:L4)),0)</f>
        <v>52</v>
      </c>
      <c r="N4" s="6">
        <f>=IF(AND(N$3&gt;=$F4,N$3&lt;$F4+$E4),MIN($H4/$E4,$H4-SUM($I4:M4)),0)</f>
        <v>52</v>
      </c>
      <c r="O4" s="6">
        <f>=IF(AND(O$3&gt;=$F4,O$3&lt;$F4+$E4),MIN($H4/$E4,$H4-SUM($I4:N4)),0)</f>
        <v>52</v>
      </c>
      <c r="P4" s="6">
        <f>=IF(AND(P$3&gt;=$F4,P$3&lt;$F4+$E4),MIN($H4/$E4,$H4-SUM($I4:O4)),0)</f>
        <v>52</v>
      </c>
      <c r="Q4" s="6">
        <f>=IF(AND(Q$3&gt;=$F4,Q$3&lt;$F4+$E4),MIN($H4/$E4,$H4-SUM($I4:P4)),0)</f>
        <v>52</v>
      </c>
      <c r="R4" s="6">
        <f>=IF(AND(R$3&gt;=$F4,R$3&lt;$F4+$E4),MIN($H4/$E4,$H4-SUM($I4:Q4)),0)</f>
        <v>52</v>
      </c>
      <c r="S4" s="6">
        <f>=IF(AND(S$3&gt;=$F4,S$3&lt;$F4+$E4),MIN($H4/$E4,$H4-SUM($I4:R4)),0)</f>
        <v>52</v>
      </c>
      <c r="T4" s="21">
        <f>=SUM(I4:S4)</f>
        <v>520</v>
      </c>
      <c r="U4" s="6">
        <f>=$H4-T4</f>
        <v>0</v>
      </c>
    </row>
    <row r="5">
      <c r="A5" s="2" t="str">
        <v>iv-5</v>
      </c>
      <c r="B5" s="2" t="str">
        <v>Equipos de imagenología dental (2)</v>
      </c>
      <c r="C5" s="2" t="str">
        <v>USD</v>
      </c>
      <c r="D5" s="6">
        <f>=Inversion!$D$8</f>
        <v>180</v>
      </c>
      <c r="E5" s="13">
        <f>=Inversion!$E$8</f>
        <v>10</v>
      </c>
      <c r="F5" s="13">
        <f>=Inversion!$F$8</f>
        <v>1</v>
      </c>
      <c r="G5" s="23">
        <f>=Inversion!$G$8</f>
        <v>0</v>
      </c>
      <c r="H5" s="6">
        <f>=IF(C5="CUP",D5/Parametros!$C$4,D5)*(1-G5)</f>
        <v>180</v>
      </c>
      <c r="I5" s="6">
        <f>=IF(AND(I$3&gt;=$F5,I$3&lt;$F5+$E5),MIN($H5/$E5,$H5),0)</f>
        <v>0</v>
      </c>
      <c r="J5" s="6">
        <f>=IF(AND(J$3&gt;=$F5,J$3&lt;$F5+$E5),MIN($H5/$E5,$H5-SUM($I5:I5)),0)</f>
        <v>18</v>
      </c>
      <c r="K5" s="6">
        <f>=IF(AND(K$3&gt;=$F5,K$3&lt;$F5+$E5),MIN($H5/$E5,$H5-SUM($I5:J5)),0)</f>
        <v>18</v>
      </c>
      <c r="L5" s="6">
        <f>=IF(AND(L$3&gt;=$F5,L$3&lt;$F5+$E5),MIN($H5/$E5,$H5-SUM($I5:K5)),0)</f>
        <v>18</v>
      </c>
      <c r="M5" s="6">
        <f>=IF(AND(M$3&gt;=$F5,M$3&lt;$F5+$E5),MIN($H5/$E5,$H5-SUM($I5:L5)),0)</f>
        <v>18</v>
      </c>
      <c r="N5" s="6">
        <f>=IF(AND(N$3&gt;=$F5,N$3&lt;$F5+$E5),MIN($H5/$E5,$H5-SUM($I5:M5)),0)</f>
        <v>18</v>
      </c>
      <c r="O5" s="6">
        <f>=IF(AND(O$3&gt;=$F5,O$3&lt;$F5+$E5),MIN($H5/$E5,$H5-SUM($I5:N5)),0)</f>
        <v>18</v>
      </c>
      <c r="P5" s="6">
        <f>=IF(AND(P$3&gt;=$F5,P$3&lt;$F5+$E5),MIN($H5/$E5,$H5-SUM($I5:O5)),0)</f>
        <v>18</v>
      </c>
      <c r="Q5" s="6">
        <f>=IF(AND(Q$3&gt;=$F5,Q$3&lt;$F5+$E5),MIN($H5/$E5,$H5-SUM($I5:P5)),0)</f>
        <v>18</v>
      </c>
      <c r="R5" s="6">
        <f>=IF(AND(R$3&gt;=$F5,R$3&lt;$F5+$E5),MIN($H5/$E5,$H5-SUM($I5:Q5)),0)</f>
        <v>18</v>
      </c>
      <c r="S5" s="6">
        <f>=IF(AND(S$3&gt;=$F5,S$3&lt;$F5+$E5),MIN($H5/$E5,$H5-SUM($I5:R5)),0)</f>
        <v>18</v>
      </c>
      <c r="T5" s="21">
        <f>=SUM(I5:S5)</f>
        <v>180</v>
      </c>
      <c r="U5" s="6">
        <f>=$H5-T5</f>
        <v>0</v>
      </c>
    </row>
    <row r="6">
      <c r="A6" s="2" t="str">
        <v>iv-6</v>
      </c>
      <c r="B6" s="2" t="str">
        <v>Laboratorio de prótesis</v>
      </c>
      <c r="C6" s="2" t="str">
        <v>USD</v>
      </c>
      <c r="D6" s="6">
        <f>=Inversion!$D$9</f>
        <v>95</v>
      </c>
      <c r="E6" s="13">
        <f>=Inversion!$E$9</f>
        <v>10</v>
      </c>
      <c r="F6" s="13">
        <f>=Inversion!$F$9</f>
        <v>1</v>
      </c>
      <c r="G6" s="23">
        <f>=Inversion!$G$9</f>
        <v>0</v>
      </c>
      <c r="H6" s="6">
        <f>=IF(C6="CUP",D6/Parametros!$C$4,D6)*(1-G6)</f>
        <v>95</v>
      </c>
      <c r="I6" s="6">
        <f>=IF(AND(I$3&gt;=$F6,I$3&lt;$F6+$E6),MIN($H6/$E6,$H6),0)</f>
        <v>0</v>
      </c>
      <c r="J6" s="6">
        <f>=IF(AND(J$3&gt;=$F6,J$3&lt;$F6+$E6),MIN($H6/$E6,$H6-SUM($I6:I6)),0)</f>
        <v>9.5</v>
      </c>
      <c r="K6" s="6">
        <f>=IF(AND(K$3&gt;=$F6,K$3&lt;$F6+$E6),MIN($H6/$E6,$H6-SUM($I6:J6)),0)</f>
        <v>9.5</v>
      </c>
      <c r="L6" s="6">
        <f>=IF(AND(L$3&gt;=$F6,L$3&lt;$F6+$E6),MIN($H6/$E6,$H6-SUM($I6:K6)),0)</f>
        <v>9.5</v>
      </c>
      <c r="M6" s="6">
        <f>=IF(AND(M$3&gt;=$F6,M$3&lt;$F6+$E6),MIN($H6/$E6,$H6-SUM($I6:L6)),0)</f>
        <v>9.5</v>
      </c>
      <c r="N6" s="6">
        <f>=IF(AND(N$3&gt;=$F6,N$3&lt;$F6+$E6),MIN($H6/$E6,$H6-SUM($I6:M6)),0)</f>
        <v>9.5</v>
      </c>
      <c r="O6" s="6">
        <f>=IF(AND(O$3&gt;=$F6,O$3&lt;$F6+$E6),MIN($H6/$E6,$H6-SUM($I6:N6)),0)</f>
        <v>9.5</v>
      </c>
      <c r="P6" s="6">
        <f>=IF(AND(P$3&gt;=$F6,P$3&lt;$F6+$E6),MIN($H6/$E6,$H6-SUM($I6:O6)),0)</f>
        <v>9.5</v>
      </c>
      <c r="Q6" s="6">
        <f>=IF(AND(Q$3&gt;=$F6,Q$3&lt;$F6+$E6),MIN($H6/$E6,$H6-SUM($I6:P6)),0)</f>
        <v>9.5</v>
      </c>
      <c r="R6" s="6">
        <f>=IF(AND(R$3&gt;=$F6,R$3&lt;$F6+$E6),MIN($H6/$E6,$H6-SUM($I6:Q6)),0)</f>
        <v>9.5</v>
      </c>
      <c r="S6" s="6">
        <f>=IF(AND(S$3&gt;=$F6,S$3&lt;$F6+$E6),MIN($H6/$E6,$H6-SUM($I6:R6)),0)</f>
        <v>9.5</v>
      </c>
      <c r="T6" s="21">
        <f>=SUM(I6:S6)</f>
        <v>95</v>
      </c>
      <c r="U6" s="6">
        <f>=$H6-T6</f>
        <v>0</v>
      </c>
    </row>
    <row r="7">
      <c r="A7" s="2" t="str">
        <v>iv-7</v>
      </c>
      <c r="B7" s="2" t="str">
        <v>Equipamiento de esterilización y compresores</v>
      </c>
      <c r="C7" s="2" t="str">
        <v>USD</v>
      </c>
      <c r="D7" s="6">
        <f>=Inversion!$D$10</f>
        <v>85</v>
      </c>
      <c r="E7" s="13">
        <f>=Inversion!$E$10</f>
        <v>10</v>
      </c>
      <c r="F7" s="13">
        <f>=Inversion!$F$10</f>
        <v>1</v>
      </c>
      <c r="G7" s="23">
        <f>=Inversion!$G$10</f>
        <v>0</v>
      </c>
      <c r="H7" s="6">
        <f>=IF(C7="CUP",D7/Parametros!$C$4,D7)*(1-G7)</f>
        <v>85</v>
      </c>
      <c r="I7" s="6">
        <f>=IF(AND(I$3&gt;=$F7,I$3&lt;$F7+$E7),MIN($H7/$E7,$H7),0)</f>
        <v>0</v>
      </c>
      <c r="J7" s="6">
        <f>=IF(AND(J$3&gt;=$F7,J$3&lt;$F7+$E7),MIN($H7/$E7,$H7-SUM($I7:I7)),0)</f>
        <v>8.5</v>
      </c>
      <c r="K7" s="6">
        <f>=IF(AND(K$3&gt;=$F7,K$3&lt;$F7+$E7),MIN($H7/$E7,$H7-SUM($I7:J7)),0)</f>
        <v>8.5</v>
      </c>
      <c r="L7" s="6">
        <f>=IF(AND(L$3&gt;=$F7,L$3&lt;$F7+$E7),MIN($H7/$E7,$H7-SUM($I7:K7)),0)</f>
        <v>8.5</v>
      </c>
      <c r="M7" s="6">
        <f>=IF(AND(M$3&gt;=$F7,M$3&lt;$F7+$E7),MIN($H7/$E7,$H7-SUM($I7:L7)),0)</f>
        <v>8.5</v>
      </c>
      <c r="N7" s="6">
        <f>=IF(AND(N$3&gt;=$F7,N$3&lt;$F7+$E7),MIN($H7/$E7,$H7-SUM($I7:M7)),0)</f>
        <v>8.5</v>
      </c>
      <c r="O7" s="6">
        <f>=IF(AND(O$3&gt;=$F7,O$3&lt;$F7+$E7),MIN($H7/$E7,$H7-SUM($I7:N7)),0)</f>
        <v>8.5</v>
      </c>
      <c r="P7" s="6">
        <f>=IF(AND(P$3&gt;=$F7,P$3&lt;$F7+$E7),MIN($H7/$E7,$H7-SUM($I7:O7)),0)</f>
        <v>8.5</v>
      </c>
      <c r="Q7" s="6">
        <f>=IF(AND(Q$3&gt;=$F7,Q$3&lt;$F7+$E7),MIN($H7/$E7,$H7-SUM($I7:P7)),0)</f>
        <v>8.5</v>
      </c>
      <c r="R7" s="6">
        <f>=IF(AND(R$3&gt;=$F7,R$3&lt;$F7+$E7),MIN($H7/$E7,$H7-SUM($I7:Q7)),0)</f>
        <v>8.5</v>
      </c>
      <c r="S7" s="6">
        <f>=IF(AND(S$3&gt;=$F7,S$3&lt;$F7+$E7),MIN($H7/$E7,$H7-SUM($I7:R7)),0)</f>
        <v>8.5</v>
      </c>
      <c r="T7" s="21">
        <f>=SUM(I7:S7)</f>
        <v>85</v>
      </c>
      <c r="U7" s="6">
        <f>=$H7-T7</f>
        <v>0</v>
      </c>
    </row>
    <row r="8">
      <c r="A8" s="2" t="str">
        <v>iv-8</v>
      </c>
      <c r="B8" s="2" t="str">
        <v>Mobiliario clínico y de oficina</v>
      </c>
      <c r="C8" s="2" t="str">
        <v>USD</v>
      </c>
      <c r="D8" s="6">
        <f>=Inversion!$D$11</f>
        <v>60</v>
      </c>
      <c r="E8" s="13">
        <f>=Inversion!$E$11</f>
        <v>8</v>
      </c>
      <c r="F8" s="13">
        <f>=Inversion!$F$11</f>
        <v>1</v>
      </c>
      <c r="G8" s="23">
        <f>=Inversion!$G$11</f>
        <v>0</v>
      </c>
      <c r="H8" s="6">
        <f>=IF(C8="CUP",D8/Parametros!$C$4,D8)*(1-G8)</f>
        <v>60</v>
      </c>
      <c r="I8" s="6">
        <f>=IF(AND(I$3&gt;=$F8,I$3&lt;$F8+$E8),MIN($H8/$E8,$H8),0)</f>
        <v>0</v>
      </c>
      <c r="J8" s="6">
        <f>=IF(AND(J$3&gt;=$F8,J$3&lt;$F8+$E8),MIN($H8/$E8,$H8-SUM($I8:I8)),0)</f>
        <v>7.5</v>
      </c>
      <c r="K8" s="6">
        <f>=IF(AND(K$3&gt;=$F8,K$3&lt;$F8+$E8),MIN($H8/$E8,$H8-SUM($I8:J8)),0)</f>
        <v>7.5</v>
      </c>
      <c r="L8" s="6">
        <f>=IF(AND(L$3&gt;=$F8,L$3&lt;$F8+$E8),MIN($H8/$E8,$H8-SUM($I8:K8)),0)</f>
        <v>7.5</v>
      </c>
      <c r="M8" s="6">
        <f>=IF(AND(M$3&gt;=$F8,M$3&lt;$F8+$E8),MIN($H8/$E8,$H8-SUM($I8:L8)),0)</f>
        <v>7.5</v>
      </c>
      <c r="N8" s="6">
        <f>=IF(AND(N$3&gt;=$F8,N$3&lt;$F8+$E8),MIN($H8/$E8,$H8-SUM($I8:M8)),0)</f>
        <v>7.5</v>
      </c>
      <c r="O8" s="6">
        <f>=IF(AND(O$3&gt;=$F8,O$3&lt;$F8+$E8),MIN($H8/$E8,$H8-SUM($I8:N8)),0)</f>
        <v>7.5</v>
      </c>
      <c r="P8" s="6">
        <f>=IF(AND(P$3&gt;=$F8,P$3&lt;$F8+$E8),MIN($H8/$E8,$H8-SUM($I8:O8)),0)</f>
        <v>7.5</v>
      </c>
      <c r="Q8" s="6">
        <f>=IF(AND(Q$3&gt;=$F8,Q$3&lt;$F8+$E8),MIN($H8/$E8,$H8-SUM($I8:P8)),0)</f>
        <v>7.5</v>
      </c>
      <c r="R8" s="6">
        <f>=IF(AND(R$3&gt;=$F8,R$3&lt;$F8+$E8),MIN($H8/$E8,$H8-SUM($I8:Q8)),0)</f>
        <v>0</v>
      </c>
      <c r="S8" s="6">
        <f>=IF(AND(S$3&gt;=$F8,S$3&lt;$F8+$E8),MIN($H8/$E8,$H8-SUM($I8:R8)),0)</f>
        <v>0</v>
      </c>
      <c r="T8" s="21">
        <f>=SUM(I8:S8)</f>
        <v>60</v>
      </c>
      <c r="U8" s="6">
        <f>=$H8-T8</f>
        <v>0</v>
      </c>
    </row>
    <row r="9">
      <c r="A9" s="2" t="str">
        <v>iv-9</v>
      </c>
      <c r="B9" s="2" t="str">
        <v>Informática y software de gestión clínica</v>
      </c>
      <c r="C9" s="2" t="str">
        <v>USD</v>
      </c>
      <c r="D9" s="6">
        <f>=Inversion!$D$12</f>
        <v>35</v>
      </c>
      <c r="E9" s="13">
        <f>=Inversion!$E$12</f>
        <v>5</v>
      </c>
      <c r="F9" s="13">
        <f>=Inversion!$F$12</f>
        <v>1</v>
      </c>
      <c r="G9" s="23">
        <f>=Inversion!$G$12</f>
        <v>0</v>
      </c>
      <c r="H9" s="6">
        <f>=IF(C9="CUP",D9/Parametros!$C$4,D9)*(1-G9)</f>
        <v>35</v>
      </c>
      <c r="I9" s="6">
        <f>=IF(AND(I$3&gt;=$F9,I$3&lt;$F9+$E9),MIN($H9/$E9,$H9),0)</f>
        <v>0</v>
      </c>
      <c r="J9" s="6">
        <f>=IF(AND(J$3&gt;=$F9,J$3&lt;$F9+$E9),MIN($H9/$E9,$H9-SUM($I9:I9)),0)</f>
        <v>7</v>
      </c>
      <c r="K9" s="6">
        <f>=IF(AND(K$3&gt;=$F9,K$3&lt;$F9+$E9),MIN($H9/$E9,$H9-SUM($I9:J9)),0)</f>
        <v>7</v>
      </c>
      <c r="L9" s="6">
        <f>=IF(AND(L$3&gt;=$F9,L$3&lt;$F9+$E9),MIN($H9/$E9,$H9-SUM($I9:K9)),0)</f>
        <v>7</v>
      </c>
      <c r="M9" s="6">
        <f>=IF(AND(M$3&gt;=$F9,M$3&lt;$F9+$E9),MIN($H9/$E9,$H9-SUM($I9:L9)),0)</f>
        <v>7</v>
      </c>
      <c r="N9" s="6">
        <f>=IF(AND(N$3&gt;=$F9,N$3&lt;$F9+$E9),MIN($H9/$E9,$H9-SUM($I9:M9)),0)</f>
        <v>7</v>
      </c>
      <c r="O9" s="6">
        <f>=IF(AND(O$3&gt;=$F9,O$3&lt;$F9+$E9),MIN($H9/$E9,$H9-SUM($I9:N9)),0)</f>
        <v>0</v>
      </c>
      <c r="P9" s="6">
        <f>=IF(AND(P$3&gt;=$F9,P$3&lt;$F9+$E9),MIN($H9/$E9,$H9-SUM($I9:O9)),0)</f>
        <v>0</v>
      </c>
      <c r="Q9" s="6">
        <f>=IF(AND(Q$3&gt;=$F9,Q$3&lt;$F9+$E9),MIN($H9/$E9,$H9-SUM($I9:P9)),0)</f>
        <v>0</v>
      </c>
      <c r="R9" s="6">
        <f>=IF(AND(R$3&gt;=$F9,R$3&lt;$F9+$E9),MIN($H9/$E9,$H9-SUM($I9:Q9)),0)</f>
        <v>0</v>
      </c>
      <c r="S9" s="6">
        <f>=IF(AND(S$3&gt;=$F9,S$3&lt;$F9+$E9),MIN($H9/$E9,$H9-SUM($I9:R9)),0)</f>
        <v>0</v>
      </c>
      <c r="T9" s="21">
        <f>=SUM(I9:S9)</f>
        <v>35</v>
      </c>
      <c r="U9" s="6">
        <f>=$H9-T9</f>
        <v>0</v>
      </c>
    </row>
    <row r="10">
      <c r="A10" s="2" t="str">
        <v>iv-10</v>
      </c>
      <c r="B10" s="2" t="str">
        <v>Adecuación y montaje de instalaciones</v>
      </c>
      <c r="C10" s="2" t="str">
        <v>USD</v>
      </c>
      <c r="D10" s="6">
        <f>=Inversion!$D$13</f>
        <v>180</v>
      </c>
      <c r="E10" s="13">
        <f>=Inversion!$E$13</f>
        <v>20</v>
      </c>
      <c r="F10" s="13">
        <f>=Inversion!$F$13</f>
        <v>1</v>
      </c>
      <c r="G10" s="23">
        <f>=Inversion!$G$13</f>
        <v>0</v>
      </c>
      <c r="H10" s="6">
        <f>=IF(C10="CUP",D10/Parametros!$C$4,D10)*(1-G10)</f>
        <v>180</v>
      </c>
      <c r="I10" s="6">
        <f>=IF(AND(I$3&gt;=$F10,I$3&lt;$F10+$E10),MIN($H10/$E10,$H10),0)</f>
        <v>0</v>
      </c>
      <c r="J10" s="6">
        <f>=IF(AND(J$3&gt;=$F10,J$3&lt;$F10+$E10),MIN($H10/$E10,$H10-SUM($I10:I10)),0)</f>
        <v>9</v>
      </c>
      <c r="K10" s="6">
        <f>=IF(AND(K$3&gt;=$F10,K$3&lt;$F10+$E10),MIN($H10/$E10,$H10-SUM($I10:J10)),0)</f>
        <v>9</v>
      </c>
      <c r="L10" s="6">
        <f>=IF(AND(L$3&gt;=$F10,L$3&lt;$F10+$E10),MIN($H10/$E10,$H10-SUM($I10:K10)),0)</f>
        <v>9</v>
      </c>
      <c r="M10" s="6">
        <f>=IF(AND(M$3&gt;=$F10,M$3&lt;$F10+$E10),MIN($H10/$E10,$H10-SUM($I10:L10)),0)</f>
        <v>9</v>
      </c>
      <c r="N10" s="6">
        <f>=IF(AND(N$3&gt;=$F10,N$3&lt;$F10+$E10),MIN($H10/$E10,$H10-SUM($I10:M10)),0)</f>
        <v>9</v>
      </c>
      <c r="O10" s="6">
        <f>=IF(AND(O$3&gt;=$F10,O$3&lt;$F10+$E10),MIN($H10/$E10,$H10-SUM($I10:N10)),0)</f>
        <v>9</v>
      </c>
      <c r="P10" s="6">
        <f>=IF(AND(P$3&gt;=$F10,P$3&lt;$F10+$E10),MIN($H10/$E10,$H10-SUM($I10:O10)),0)</f>
        <v>9</v>
      </c>
      <c r="Q10" s="6">
        <f>=IF(AND(Q$3&gt;=$F10,Q$3&lt;$F10+$E10),MIN($H10/$E10,$H10-SUM($I10:P10)),0)</f>
        <v>9</v>
      </c>
      <c r="R10" s="6">
        <f>=IF(AND(R$3&gt;=$F10,R$3&lt;$F10+$E10),MIN($H10/$E10,$H10-SUM($I10:Q10)),0)</f>
        <v>9</v>
      </c>
      <c r="S10" s="6">
        <f>=IF(AND(S$3&gt;=$F10,S$3&lt;$F10+$E10),MIN($H10/$E10,$H10-SUM($I10:R10)),0)</f>
        <v>9</v>
      </c>
      <c r="T10" s="21">
        <f>=SUM(I10:S10)</f>
        <v>90</v>
      </c>
      <c r="U10" s="6">
        <f>=$H10-T10</f>
        <v>90</v>
      </c>
    </row>
    <row r="11">
      <c r="A11" s="2" t="str">
        <v>iv-11</v>
      </c>
      <c r="B11" s="2" t="str">
        <v>Vehículos (ver desglose)</v>
      </c>
      <c r="C11" s="2" t="str">
        <v>USD</v>
      </c>
      <c r="D11" s="6">
        <f>=Inversion!$D$14</f>
        <v>45</v>
      </c>
      <c r="E11" s="13">
        <f>=Inversion!$E$14</f>
        <v>8</v>
      </c>
      <c r="F11" s="13">
        <f>=Inversion!$F$14</f>
        <v>1</v>
      </c>
      <c r="G11" s="23">
        <f>=Inversion!$G$14</f>
        <v>0</v>
      </c>
      <c r="H11" s="6">
        <f>=IF(C11="CUP",D11/Parametros!$C$4,D11)*(1-G11)</f>
        <v>45</v>
      </c>
      <c r="I11" s="6">
        <f>=IF(AND(I$3&gt;=$F11,I$3&lt;$F11+$E11),MIN($H11/$E11,$H11),0)</f>
        <v>0</v>
      </c>
      <c r="J11" s="6">
        <f>=IF(AND(J$3&gt;=$F11,J$3&lt;$F11+$E11),MIN($H11/$E11,$H11-SUM($I11:I11)),0)</f>
        <v>5.625</v>
      </c>
      <c r="K11" s="6">
        <f>=IF(AND(K$3&gt;=$F11,K$3&lt;$F11+$E11),MIN($H11/$E11,$H11-SUM($I11:J11)),0)</f>
        <v>5.625</v>
      </c>
      <c r="L11" s="6">
        <f>=IF(AND(L$3&gt;=$F11,L$3&lt;$F11+$E11),MIN($H11/$E11,$H11-SUM($I11:K11)),0)</f>
        <v>5.625</v>
      </c>
      <c r="M11" s="6">
        <f>=IF(AND(M$3&gt;=$F11,M$3&lt;$F11+$E11),MIN($H11/$E11,$H11-SUM($I11:L11)),0)</f>
        <v>5.625</v>
      </c>
      <c r="N11" s="6">
        <f>=IF(AND(N$3&gt;=$F11,N$3&lt;$F11+$E11),MIN($H11/$E11,$H11-SUM($I11:M11)),0)</f>
        <v>5.625</v>
      </c>
      <c r="O11" s="6">
        <f>=IF(AND(O$3&gt;=$F11,O$3&lt;$F11+$E11),MIN($H11/$E11,$H11-SUM($I11:N11)),0)</f>
        <v>5.625</v>
      </c>
      <c r="P11" s="6">
        <f>=IF(AND(P$3&gt;=$F11,P$3&lt;$F11+$E11),MIN($H11/$E11,$H11-SUM($I11:O11)),0)</f>
        <v>5.625</v>
      </c>
      <c r="Q11" s="6">
        <f>=IF(AND(Q$3&gt;=$F11,Q$3&lt;$F11+$E11),MIN($H11/$E11,$H11-SUM($I11:P11)),0)</f>
        <v>5.625</v>
      </c>
      <c r="R11" s="6">
        <f>=IF(AND(R$3&gt;=$F11,R$3&lt;$F11+$E11),MIN($H11/$E11,$H11-SUM($I11:Q11)),0)</f>
        <v>0</v>
      </c>
      <c r="S11" s="6">
        <f>=IF(AND(S$3&gt;=$F11,S$3&lt;$F11+$E11),MIN($H11/$E11,$H11-SUM($I11:R11)),0)</f>
        <v>0</v>
      </c>
      <c r="T11" s="21">
        <f>=SUM(I11:S11)</f>
        <v>45</v>
      </c>
      <c r="U11" s="6">
        <f>=$H11-T11</f>
        <v>0</v>
      </c>
    </row>
    <row r="12">
      <c r="A12" s="2" t="str">
        <v>re-gab-amp-ex-gab-1</v>
      </c>
      <c r="B12" s="2" t="str">
        <v>Ampliación de Gabinetes de atención (sillones) (+2 uds., año 7)</v>
      </c>
      <c r="C12" s="2" t="str">
        <v>USD</v>
      </c>
      <c r="D12" s="6">
        <f>=Inversion!$D$4</f>
        <v>0</v>
      </c>
      <c r="E12" s="13">
        <f>=Inversion!$E$4</f>
        <v>10</v>
      </c>
      <c r="F12" s="13">
        <f>=Inversion!$F$4</f>
        <v>7</v>
      </c>
      <c r="G12" s="23">
        <f>=Inversion!$G$4</f>
        <v>0</v>
      </c>
      <c r="H12" s="6">
        <f>=IF(C12="CUP",D12/Parametros!$C$4,D12)*(1-G12)</f>
        <v>150</v>
      </c>
      <c r="I12" s="6">
        <f>=IF(AND(I$3&gt;=7,I$3&lt;17),MIN(150/10,150),0)</f>
        <v>0</v>
      </c>
      <c r="J12" s="6">
        <f>=IF(AND(J$3&gt;=7,J$3&lt;17),MIN(150/10,150-SUM($I12:I12)),0)</f>
        <v>0</v>
      </c>
      <c r="K12" s="6">
        <f>=IF(AND(K$3&gt;=7,K$3&lt;17),MIN(150/10,150-SUM($I12:J12)),0)</f>
        <v>0</v>
      </c>
      <c r="L12" s="6">
        <f>=IF(AND(L$3&gt;=7,L$3&lt;17),MIN(150/10,150-SUM($I12:K12)),0)</f>
        <v>0</v>
      </c>
      <c r="M12" s="6">
        <f>=IF(AND(M$3&gt;=7,M$3&lt;17),MIN(150/10,150-SUM($I12:L12)),0)</f>
        <v>0</v>
      </c>
      <c r="N12" s="6">
        <f>=IF(AND(N$3&gt;=7,N$3&lt;17),MIN(150/10,150-SUM($I12:M12)),0)</f>
        <v>0</v>
      </c>
      <c r="O12" s="6">
        <f>=IF(AND(O$3&gt;=7,O$3&lt;17),MIN(150/10,150-SUM($I12:N12)),0)</f>
        <v>0</v>
      </c>
      <c r="P12" s="6">
        <f>=IF(AND(P$3&gt;=7,P$3&lt;17),MIN(150/10,150-SUM($I12:O12)),0)</f>
        <v>15</v>
      </c>
      <c r="Q12" s="6">
        <f>=IF(AND(Q$3&gt;=7,Q$3&lt;17),MIN(150/10,150-SUM($I12:P12)),0)</f>
        <v>15</v>
      </c>
      <c r="R12" s="6">
        <f>=IF(AND(R$3&gt;=7,R$3&lt;17),MIN(150/10,150-SUM($I12:Q12)),0)</f>
        <v>15</v>
      </c>
      <c r="S12" s="6">
        <f>=IF(AND(S$3&gt;=7,S$3&lt;17),MIN(150/10,150-SUM($I12:R12)),0)</f>
        <v>15</v>
      </c>
      <c r="T12" s="21">
        <f>=SUM(I12:S12)</f>
        <v>60</v>
      </c>
      <c r="U12" s="6">
        <f>=$H12-T12</f>
        <v>90</v>
      </c>
    </row>
    <row r="13">
      <c r="B13" s="22" t="str">
        <v>TOTAL DEPRECIACIÓN (mtr_depreciacion_k)</v>
      </c>
      <c r="I13" s="21">
        <f>=SUM(I4:I12)</f>
        <v>0</v>
      </c>
      <c r="J13" s="21">
        <f>=SUM(J4:J12)</f>
        <v>117.125</v>
      </c>
      <c r="K13" s="21">
        <f>=SUM(K4:K12)</f>
        <v>117.125</v>
      </c>
      <c r="L13" s="21">
        <f>=SUM(L4:L12)</f>
        <v>117.125</v>
      </c>
      <c r="M13" s="21">
        <f>=SUM(M4:M12)</f>
        <v>117.125</v>
      </c>
      <c r="N13" s="21">
        <f>=SUM(N4:N12)</f>
        <v>117.125</v>
      </c>
      <c r="O13" s="21">
        <f>=SUM(O4:O12)</f>
        <v>110.125</v>
      </c>
      <c r="P13" s="21">
        <f>=SUM(P4:P12)</f>
        <v>125.125</v>
      </c>
      <c r="Q13" s="21">
        <f>=SUM(Q4:Q12)</f>
        <v>125.125</v>
      </c>
      <c r="R13" s="21">
        <f>=SUM(R4:R12)</f>
        <v>112</v>
      </c>
      <c r="S13" s="21">
        <f>=SUM(S4:S12)</f>
        <v>112</v>
      </c>
    </row>
    <row r="15">
      <c r="A15" s="8" t="str">
        <v>La acumulada de cada activo se limita a su base depreciable; un activo sin vida útil definida no deprecia (el diagnóstico lo advierte). Los activos nuevos de ampliaciones (escenario B) deprecian desde su año de ejecución.</v>
      </c>
    </row>
    <row r="16">
      <c r="A16" s="24" t="str">
        <v>Hay 2 activo(s) con valor neto en libros al cierre (vidas útiles que exceden el horizonte): el plan debe declarar su tratamiento al final del período.</v>
      </c>
    </row>
  </sheetData>
  <ignoredErrors>
    <ignoredError numberStoredAsText="1" sqref="A1:U16"/>
  </ignoredErrors>
</worksheet>
</file>

<file path=xl/worksheets/sheet6.xml><?xml version="1.0" encoding="utf-8"?>
<worksheet xmlns="http://schemas.openxmlformats.org/spreadsheetml/2006/main" xmlns:r="http://schemas.openxmlformats.org/officeDocument/2006/relationships">
  <dimension ref="A1:K16"/>
  <sheetViews>
    <sheetView workbookViewId="0"/>
  </sheetViews>
  <cols>
    <col min="1" max="1" width="8.83203125" customWidth="1"/>
    <col min="2" max="2" width="12.83203125" customWidth="1"/>
    <col min="3" max="3" width="12.83203125" customWidth="1"/>
    <col min="4" max="4" width="13.83203125" customWidth="1"/>
    <col min="5" max="5" width="13.83203125" customWidth="1"/>
    <col min="6" max="6" width="12.83203125" customWidth="1"/>
    <col min="7" max="7" width="12.83203125" customWidth="1"/>
    <col min="8" max="8" width="12.83203125" customWidth="1"/>
    <col min="9" max="9" width="4.83203125" customWidth="1"/>
    <col min="10" max="10" width="30.83203125" customWidth="1"/>
    <col min="11" max="11" width="14.83203125" customWidth="1"/>
  </cols>
  <sheetData>
    <row r="1">
      <c r="A1" s="3" t="str">
        <v>Calendario financiero de la deuda (misión §6) — miles de USD</v>
      </c>
      <c r="J1" s="3" t="str">
        <v>Configuración del crédito</v>
      </c>
    </row>
    <row r="2">
      <c r="A2" s="8" t="str">
        <v>Invariante por período: saldo final = saldo inicial + desembolso + interés capitalizado − amortización. Gracia de principal: intereses corrientes; gracia total: intereses capitalizados. Métodos: capital constante, francés (PMT) y pago único.</v>
      </c>
      <c r="J2" s="8" t="str">
        <v>Celdas K: editables; las fórmulas del calendario las referencian.</v>
      </c>
    </row>
    <row r="3">
      <c r="A3" s="12" t="str">
        <v>Año</v>
      </c>
      <c r="B3" s="12" t="str">
        <v>Saldo inicial</v>
      </c>
      <c r="C3" s="12" t="str">
        <v>Desembolso</v>
      </c>
      <c r="D3" s="12" t="str">
        <v>Interés devengado</v>
      </c>
      <c r="E3" s="12" t="str">
        <v>Interés capitalizado</v>
      </c>
      <c r="F3" s="12" t="str">
        <v>Amortización</v>
      </c>
      <c r="G3" s="12" t="str">
        <v>Interés pagado</v>
      </c>
      <c r="H3" s="12" t="str">
        <v>Saldo final</v>
      </c>
    </row>
    <row r="4">
      <c r="A4" s="19">
        <v>0</v>
      </c>
      <c r="B4" s="6">
        <f>=0</f>
        <v>0</v>
      </c>
      <c r="C4" s="6">
        <f>=IF($A4=$K$7,$K$4,0)</f>
        <v>300</v>
      </c>
      <c r="D4" s="6">
        <f>=IF($A4&gt;$K$7,($B4+$C4)*$K$5,0)</f>
        <v>0</v>
      </c>
      <c r="E4" s="6">
        <f>=IF(AND($K$8="total",$A4&gt;$K$7,$A4&lt;=$K$7+$K$6),$D4,0)</f>
        <v>0</v>
      </c>
      <c r="F4" s="6">
        <f>=IF(AND($A4&gt;=$K$7+$K$6+1,$A4&lt;=$K$7+$K$6+$K$10),IF($K$9="sistema_frances",MAX(0,MIN($K$12-$D4,$B4+$C4+$E4)),IF($K$9="pago_unico",IF($A4=$K$7+$K$6+$K$10,$B4+$C4+$E4,0),MIN($K$11/$K$10,$B4+$C4+$E4))),0)</f>
        <v>0</v>
      </c>
      <c r="G4" s="6">
        <f>=IF($A4&gt;$K$7,$D4-$E4,0)</f>
        <v>0</v>
      </c>
      <c r="H4" s="6">
        <f>=$B4+$C4+$E4-$F4</f>
        <v>300</v>
      </c>
      <c r="J4" s="2" t="str">
        <v>Monto (kUSD)</v>
      </c>
      <c r="K4" s="6">
        <f>=Parametros!$C$23</f>
        <v>300</v>
      </c>
    </row>
    <row r="5">
      <c r="A5" s="19">
        <v>1</v>
      </c>
      <c r="B5" s="6">
        <f>=$H4</f>
        <v>300</v>
      </c>
      <c r="C5" s="6">
        <f>=IF($A5=$K$7,$K$4,0)</f>
        <v>0</v>
      </c>
      <c r="D5" s="6">
        <f>=IF($A5&gt;$K$7,($B5+$C5)*$K$5,0)</f>
        <v>24</v>
      </c>
      <c r="E5" s="6">
        <f>=IF(AND($K$8="total",$A5&gt;$K$7,$A5&lt;=$K$7+$K$6),$D5,0)</f>
        <v>0</v>
      </c>
      <c r="F5" s="6">
        <f>=IF(AND($A5&gt;=$K$7+$K$6+1,$A5&lt;=$K$7+$K$6+$K$10),IF($K$9="sistema_frances",MAX(0,MIN($K$12-$D5,$B5+$C5+$E5)),IF($K$9="pago_unico",IF($A5=$K$7+$K$6+$K$10,$B5+$C5+$E5,0),MIN($K$11/$K$10,$B5+$C5+$E5))),0)</f>
        <v>0</v>
      </c>
      <c r="G5" s="6">
        <f>=IF($A5&gt;$K$7,$D5-$E5,0)</f>
        <v>24</v>
      </c>
      <c r="H5" s="6">
        <f>=$B5+$C5+$E5-$F5</f>
        <v>300</v>
      </c>
      <c r="J5" s="2" t="str">
        <v>Tasa anual</v>
      </c>
      <c r="K5" s="23">
        <f>=Parametros!$C$5</f>
        <v>0.08</v>
      </c>
    </row>
    <row r="6">
      <c r="A6" s="19">
        <v>2</v>
      </c>
      <c r="B6" s="6">
        <f>=$H5</f>
        <v>300</v>
      </c>
      <c r="C6" s="6">
        <f>=IF($A6=$K$7,$K$4,0)</f>
        <v>0</v>
      </c>
      <c r="D6" s="6">
        <f>=IF($A6&gt;$K$7,($B6+$C6)*$K$5,0)</f>
        <v>24</v>
      </c>
      <c r="E6" s="6">
        <f>=IF(AND($K$8="total",$A6&gt;$K$7,$A6&lt;=$K$7+$K$6),$D6,0)</f>
        <v>0</v>
      </c>
      <c r="F6" s="6">
        <f>=IF(AND($A6&gt;=$K$7+$K$6+1,$A6&lt;=$K$7+$K$6+$K$10),IF($K$9="sistema_frances",MAX(0,MIN($K$12-$D6,$B6+$C6+$E6)),IF($K$9="pago_unico",IF($A6=$K$7+$K$6+$K$10,$B6+$C6+$E6,0),MIN($K$11/$K$10,$B6+$C6+$E6))),0)</f>
        <v>60</v>
      </c>
      <c r="G6" s="6">
        <f>=IF($A6&gt;$K$7,$D6-$E6,0)</f>
        <v>24</v>
      </c>
      <c r="H6" s="6">
        <f>=$B6+$C6+$E6-$F6</f>
        <v>240</v>
      </c>
      <c r="J6" s="2" t="str">
        <v>Gracia (años)</v>
      </c>
      <c r="K6" s="13">
        <f>=Parametros!$C$7</f>
        <v>1</v>
      </c>
    </row>
    <row r="7">
      <c r="A7" s="19">
        <v>3</v>
      </c>
      <c r="B7" s="6">
        <f>=$H6</f>
        <v>240</v>
      </c>
      <c r="C7" s="6">
        <f>=IF($A7=$K$7,$K$4,0)</f>
        <v>0</v>
      </c>
      <c r="D7" s="6">
        <f>=IF($A7&gt;$K$7,($B7+$C7)*$K$5,0)</f>
        <v>19.2</v>
      </c>
      <c r="E7" s="6">
        <f>=IF(AND($K$8="total",$A7&gt;$K$7,$A7&lt;=$K$7+$K$6),$D7,0)</f>
        <v>0</v>
      </c>
      <c r="F7" s="6">
        <f>=IF(AND($A7&gt;=$K$7+$K$6+1,$A7&lt;=$K$7+$K$6+$K$10),IF($K$9="sistema_frances",MAX(0,MIN($K$12-$D7,$B7+$C7+$E7)),IF($K$9="pago_unico",IF($A7=$K$7+$K$6+$K$10,$B7+$C7+$E7,0),MIN($K$11/$K$10,$B7+$C7+$E7))),0)</f>
        <v>60</v>
      </c>
      <c r="G7" s="6">
        <f>=IF($A7&gt;$K$7,$D7-$E7,0)</f>
        <v>19.2</v>
      </c>
      <c r="H7" s="6">
        <f>=$B7+$C7+$E7-$F7</f>
        <v>180</v>
      </c>
      <c r="J7" s="2" t="str">
        <v>Año de desembolso</v>
      </c>
      <c r="K7" s="19">
        <v>0</v>
      </c>
    </row>
    <row r="8">
      <c r="A8" s="19">
        <v>4</v>
      </c>
      <c r="B8" s="6">
        <f>=$H7</f>
        <v>180</v>
      </c>
      <c r="C8" s="6">
        <f>=IF($A8=$K$7,$K$4,0)</f>
        <v>0</v>
      </c>
      <c r="D8" s="6">
        <f>=IF($A8&gt;$K$7,($B8+$C8)*$K$5,0)</f>
        <v>14.4</v>
      </c>
      <c r="E8" s="6">
        <f>=IF(AND($K$8="total",$A8&gt;$K$7,$A8&lt;=$K$7+$K$6),$D8,0)</f>
        <v>0</v>
      </c>
      <c r="F8" s="6">
        <f>=IF(AND($A8&gt;=$K$7+$K$6+1,$A8&lt;=$K$7+$K$6+$K$10),IF($K$9="sistema_frances",MAX(0,MIN($K$12-$D8,$B8+$C8+$E8)),IF($K$9="pago_unico",IF($A8=$K$7+$K$6+$K$10,$B8+$C8+$E8,0),MIN($K$11/$K$10,$B8+$C8+$E8))),0)</f>
        <v>60</v>
      </c>
      <c r="G8" s="6">
        <f>=IF($A8&gt;$K$7,$D8-$E8,0)</f>
        <v>14.4</v>
      </c>
      <c r="H8" s="6">
        <f>=$B8+$C8+$E8-$F8</f>
        <v>120</v>
      </c>
      <c r="J8" s="2" t="str">
        <v>Tipo de gracia</v>
      </c>
      <c r="K8" s="19" t="str">
        <v>principal</v>
      </c>
    </row>
    <row r="9">
      <c r="A9" s="19">
        <v>5</v>
      </c>
      <c r="B9" s="6">
        <f>=$H8</f>
        <v>120</v>
      </c>
      <c r="C9" s="6">
        <f>=IF($A9=$K$7,$K$4,0)</f>
        <v>0</v>
      </c>
      <c r="D9" s="6">
        <f>=IF($A9&gt;$K$7,($B9+$C9)*$K$5,0)</f>
        <v>9.6</v>
      </c>
      <c r="E9" s="6">
        <f>=IF(AND($K$8="total",$A9&gt;$K$7,$A9&lt;=$K$7+$K$6),$D9,0)</f>
        <v>0</v>
      </c>
      <c r="F9" s="6">
        <f>=IF(AND($A9&gt;=$K$7+$K$6+1,$A9&lt;=$K$7+$K$6+$K$10),IF($K$9="sistema_frances",MAX(0,MIN($K$12-$D9,$B9+$C9+$E9)),IF($K$9="pago_unico",IF($A9=$K$7+$K$6+$K$10,$B9+$C9+$E9,0),MIN($K$11/$K$10,$B9+$C9+$E9))),0)</f>
        <v>60</v>
      </c>
      <c r="G9" s="6">
        <f>=IF($A9&gt;$K$7,$D9-$E9,0)</f>
        <v>9.6</v>
      </c>
      <c r="H9" s="6">
        <f>=$B9+$C9+$E9-$F9</f>
        <v>60</v>
      </c>
      <c r="J9" s="2" t="str">
        <v>Método de amortización</v>
      </c>
      <c r="K9" s="19" t="str">
        <v>capital_constante</v>
      </c>
    </row>
    <row r="10">
      <c r="A10" s="19">
        <v>6</v>
      </c>
      <c r="B10" s="6">
        <f>=$H9</f>
        <v>60</v>
      </c>
      <c r="C10" s="6">
        <f>=IF($A10=$K$7,$K$4,0)</f>
        <v>0</v>
      </c>
      <c r="D10" s="6">
        <f>=IF($A10&gt;$K$7,($B10+$C10)*$K$5,0)</f>
        <v>4.8</v>
      </c>
      <c r="E10" s="6">
        <f>=IF(AND($K$8="total",$A10&gt;$K$7,$A10&lt;=$K$7+$K$6),$D10,0)</f>
        <v>0</v>
      </c>
      <c r="F10" s="6">
        <f>=IF(AND($A10&gt;=$K$7+$K$6+1,$A10&lt;=$K$7+$K$6+$K$10),IF($K$9="sistema_frances",MAX(0,MIN($K$12-$D10,$B10+$C10+$E10)),IF($K$9="pago_unico",IF($A10=$K$7+$K$6+$K$10,$B10+$C10+$E10,0),MIN($K$11/$K$10,$B10+$C10+$E10))),0)</f>
        <v>60</v>
      </c>
      <c r="G10" s="6">
        <f>=IF($A10&gt;$K$7,$D10-$E10,0)</f>
        <v>4.8</v>
      </c>
      <c r="H10" s="6">
        <f>=$B10+$C10+$E10-$F10</f>
        <v>0</v>
      </c>
      <c r="J10" s="2" t="str">
        <v>Plazo (anualidades)</v>
      </c>
      <c r="K10" s="13">
        <f>=Parametros!$C$6</f>
        <v>5</v>
      </c>
    </row>
    <row r="11">
      <c r="A11" s="19">
        <v>7</v>
      </c>
      <c r="B11" s="6">
        <f>=$H10</f>
        <v>0</v>
      </c>
      <c r="C11" s="6">
        <f>=IF($A11=$K$7,$K$4,0)</f>
        <v>0</v>
      </c>
      <c r="D11" s="6">
        <f>=IF($A11&gt;$K$7,($B11+$C11)*$K$5,0)</f>
        <v>0</v>
      </c>
      <c r="E11" s="6">
        <f>=IF(AND($K$8="total",$A11&gt;$K$7,$A11&lt;=$K$7+$K$6),$D11,0)</f>
        <v>0</v>
      </c>
      <c r="F11" s="6">
        <f>=IF(AND($A11&gt;=$K$7+$K$6+1,$A11&lt;=$K$7+$K$6+$K$10),IF($K$9="sistema_frances",MAX(0,MIN($K$12-$D11,$B11+$C11+$E11)),IF($K$9="pago_unico",IF($A11=$K$7+$K$6+$K$10,$B11+$C11+$E11,0),MIN($K$11/$K$10,$B11+$C11+$E11))),0)</f>
        <v>0</v>
      </c>
      <c r="G11" s="6">
        <f>=IF($A11&gt;$K$7,$D11-$E11,0)</f>
        <v>0</v>
      </c>
      <c r="H11" s="6">
        <f>=$B11+$C11+$E11-$F11</f>
        <v>0</v>
      </c>
      <c r="J11" s="2" t="str">
        <v>Saldo al inicio de la ventana</v>
      </c>
      <c r="K11" s="6">
        <f>=IF($K$8="total",$K$4*(1+$K$5)^$K$6,$K$4)</f>
        <v>300</v>
      </c>
    </row>
    <row r="12">
      <c r="A12" s="19">
        <v>8</v>
      </c>
      <c r="B12" s="6">
        <f>=$H11</f>
        <v>0</v>
      </c>
      <c r="C12" s="6">
        <f>=IF($A12=$K$7,$K$4,0)</f>
        <v>0</v>
      </c>
      <c r="D12" s="6">
        <f>=IF($A12&gt;$K$7,($B12+$C12)*$K$5,0)</f>
        <v>0</v>
      </c>
      <c r="E12" s="6">
        <f>=IF(AND($K$8="total",$A12&gt;$K$7,$A12&lt;=$K$7+$K$6),$D12,0)</f>
        <v>0</v>
      </c>
      <c r="F12" s="6">
        <f>=IF(AND($A12&gt;=$K$7+$K$6+1,$A12&lt;=$K$7+$K$6+$K$10),IF($K$9="sistema_frances",MAX(0,MIN($K$12-$D12,$B12+$C12+$E12)),IF($K$9="pago_unico",IF($A12=$K$7+$K$6+$K$10,$B12+$C12+$E12,0),MIN($K$11/$K$10,$B12+$C12+$E12))),0)</f>
        <v>0</v>
      </c>
      <c r="G12" s="6">
        <f>=IF($A12&gt;$K$7,$D12-$E12,0)</f>
        <v>0</v>
      </c>
      <c r="H12" s="6">
        <f>=$B12+$C12+$E12-$F12</f>
        <v>0</v>
      </c>
      <c r="J12" s="2" t="str">
        <v>Cuota del sistema francés</v>
      </c>
      <c r="K12" s="6">
        <f>=IF($K$5&gt;0,$K$11*$K$5/(1-(1+$K$5)^-$K$10),$K$11/$K$10)</f>
        <v>0</v>
      </c>
    </row>
    <row r="13">
      <c r="A13" s="19">
        <v>9</v>
      </c>
      <c r="B13" s="6">
        <f>=$H12</f>
        <v>0</v>
      </c>
      <c r="C13" s="6">
        <f>=IF($A13=$K$7,$K$4,0)</f>
        <v>0</v>
      </c>
      <c r="D13" s="6">
        <f>=IF($A13&gt;$K$7,($B13+$C13)*$K$5,0)</f>
        <v>0</v>
      </c>
      <c r="E13" s="6">
        <f>=IF(AND($K$8="total",$A13&gt;$K$7,$A13&lt;=$K$7+$K$6),$D13,0)</f>
        <v>0</v>
      </c>
      <c r="F13" s="6">
        <f>=IF(AND($A13&gt;=$K$7+$K$6+1,$A13&lt;=$K$7+$K$6+$K$10),IF($K$9="sistema_frances",MAX(0,MIN($K$12-$D13,$B13+$C13+$E13)),IF($K$9="pago_unico",IF($A13=$K$7+$K$6+$K$10,$B13+$C13+$E13,0),MIN($K$11/$K$10,$B13+$C13+$E13))),0)</f>
        <v>0</v>
      </c>
      <c r="G13" s="6">
        <f>=IF($A13&gt;$K$7,$D13-$E13,0)</f>
        <v>0</v>
      </c>
      <c r="H13" s="6">
        <f>=$B13+$C13+$E13-$F13</f>
        <v>0</v>
      </c>
    </row>
    <row r="14">
      <c r="A14" s="19">
        <v>10</v>
      </c>
      <c r="B14" s="6">
        <f>=$H13</f>
        <v>0</v>
      </c>
      <c r="C14" s="6">
        <f>=IF($A14=$K$7,$K$4,0)</f>
        <v>0</v>
      </c>
      <c r="D14" s="6">
        <f>=IF($A14&gt;$K$7,($B14+$C14)*$K$5,0)</f>
        <v>0</v>
      </c>
      <c r="E14" s="6">
        <f>=IF(AND($K$8="total",$A14&gt;$K$7,$A14&lt;=$K$7+$K$6),$D14,0)</f>
        <v>0</v>
      </c>
      <c r="F14" s="6">
        <f>=IF(AND($A14&gt;=$K$7+$K$6+1,$A14&lt;=$K$7+$K$6+$K$10),IF($K$9="sistema_frances",MAX(0,MIN($K$12-$D14,$B14+$C14+$E14)),IF($K$9="pago_unico",IF($A14=$K$7+$K$6+$K$10,$B14+$C14+$E14,0),MIN($K$11/$K$10,$B14+$C14+$E14))),0)</f>
        <v>0</v>
      </c>
      <c r="G14" s="6">
        <f>=IF($A14&gt;$K$7,$D14-$E14,0)</f>
        <v>0</v>
      </c>
      <c r="H14" s="6">
        <f>=$B14+$C14+$E14-$F14</f>
        <v>0</v>
      </c>
    </row>
    <row r="16">
      <c r="A16" s="8" t="str">
        <v>Fuente de la configuración: Supuesto ficticio: crédito externo de demostración. Documentar contrato real antes de un uso oficial.</v>
      </c>
    </row>
  </sheetData>
  <ignoredErrors>
    <ignoredError numberStoredAsText="1" sqref="A1:K16"/>
  </ignoredErrors>
</worksheet>
</file>

<file path=xl/worksheets/sheet7.xml><?xml version="1.0" encoding="utf-8"?>
<worksheet xmlns="http://schemas.openxmlformats.org/spreadsheetml/2006/main" xmlns:r="http://schemas.openxmlformats.org/officeDocument/2006/relationships">
  <dimension ref="A1:G9"/>
  <sheetViews>
    <sheetView workbookViewId="0"/>
  </sheetViews>
  <cols>
    <col min="1" max="1" width="14.83203125" customWidth="1"/>
    <col min="2" max="2" width="26.83203125" customWidth="1"/>
    <col min="3" max="3" width="12.83203125" customWidth="1"/>
    <col min="4" max="4" width="12.83203125" customWidth="1"/>
    <col min="5" max="5" width="12.83203125" customWidth="1"/>
    <col min="6" max="6" width="12.83203125" customWidth="1"/>
    <col min="7" max="7" width="60.83203125" customWidth="1"/>
  </cols>
  <sheetData>
    <row r="1">
      <c r="A1" s="3" t="str">
        <v>Aportaciones de los socios (4.5) — miles de USD con un decimal</v>
      </c>
    </row>
    <row r="3">
      <c r="A3" s="12" t="str">
        <v>Socio</v>
      </c>
      <c r="B3" s="12" t="str">
        <v>Tipo de aporte</v>
      </c>
      <c r="C3" s="12" t="str">
        <v>Año 1</v>
      </c>
      <c r="D3" s="12" t="str">
        <v>Año 2</v>
      </c>
      <c r="E3" s="12" t="str">
        <v>Año 3</v>
      </c>
      <c r="F3" s="12" t="str">
        <v>Total</v>
      </c>
      <c r="G3" s="12" t="str">
        <v>Referencia documental</v>
      </c>
    </row>
    <row r="4">
      <c r="A4" s="19" t="str">
        <v>Extranjero</v>
      </c>
      <c r="B4" s="19" t="str">
        <v>efectivo</v>
      </c>
      <c r="C4" s="16">
        <v>420</v>
      </c>
      <c r="D4" s="16">
        <v>0</v>
      </c>
      <c r="E4" s="16">
        <v>0</v>
      </c>
      <c r="F4" s="6">
        <f>=SUM(C4:E4)</f>
        <v>420</v>
      </c>
      <c r="G4" s="2" t="str">
        <v>Compromiso de aporte en efectivo (supuesto ficticio; adjuntar instrumento constitutivo)</v>
      </c>
    </row>
    <row r="5">
      <c r="A5" s="16" t="str">
        <v>Extranjero</v>
      </c>
      <c r="B5" s="16" t="str">
        <v>activos_fijos_tangibles</v>
      </c>
      <c r="C5" s="16">
        <v>288</v>
      </c>
      <c r="D5" s="16">
        <v>0</v>
      </c>
      <c r="E5" s="16">
        <v>0</v>
      </c>
      <c r="F5" s="6">
        <f>=SUM(C5:E5)</f>
        <v>288</v>
      </c>
      <c r="G5" s="2" t="str">
        <v>Equipamiento dental e imagenología nuevos (factura proforma ilustrativa; avalúo pendiente)</v>
      </c>
    </row>
    <row r="6">
      <c r="A6" s="16" t="str">
        <v>Nacional</v>
      </c>
      <c r="B6" s="16" t="str">
        <v>activos_fijos_tangibles</v>
      </c>
      <c r="C6" s="16">
        <v>180</v>
      </c>
      <c r="D6" s="16">
        <v>0</v>
      </c>
      <c r="E6" s="16">
        <v>0</v>
      </c>
      <c r="F6" s="6">
        <f>=SUM(C6:E6)</f>
        <v>180</v>
      </c>
      <c r="G6" s="2" t="str">
        <v>Instalaciones adecuadas y montadas (avalúo ilustrativo; comprobar documentación de Patrimonio)</v>
      </c>
    </row>
    <row r="7">
      <c r="A7" s="16" t="str">
        <v>Nacional</v>
      </c>
      <c r="B7" s="16" t="str">
        <v>activos_circulantes</v>
      </c>
      <c r="C7" s="16">
        <v>152</v>
      </c>
      <c r="D7" s="16">
        <v>0</v>
      </c>
      <c r="E7" s="16">
        <v>0</v>
      </c>
      <c r="F7" s="6">
        <f>=SUM(C7:E7)</f>
        <v>152</v>
      </c>
      <c r="G7" s="2" t="str">
        <v>Inventario inicial de materiales y consumibles (ilustrativo)</v>
      </c>
    </row>
    <row r="8">
      <c r="A8" s="16" t="str">
        <v>Nacional</v>
      </c>
      <c r="B8" s="16" t="str">
        <v>efectivo</v>
      </c>
      <c r="C8" s="16">
        <v>140</v>
      </c>
      <c r="D8" s="16">
        <v>0</v>
      </c>
      <c r="E8" s="16">
        <v>0</v>
      </c>
      <c r="F8" s="6">
        <f>=SUM(C8:E8)</f>
        <v>140</v>
      </c>
      <c r="G8" s="2" t="str">
        <v>Aporte en efectivo del socio nacional (supuesto ficticio)</v>
      </c>
    </row>
    <row r="9">
      <c r="A9" s="22" t="str">
        <v>TOTAL</v>
      </c>
      <c r="C9" s="21">
        <f>=SUM(C4:C8)</f>
        <v>1180</v>
      </c>
      <c r="D9" s="21">
        <f>=SUM(D4:D8)</f>
        <v>0</v>
      </c>
      <c r="E9" s="21">
        <f>=SUM(E4:E8)</f>
        <v>0</v>
      </c>
      <c r="F9" s="21">
        <f>=SUM(F4:F8)</f>
        <v>1180</v>
      </c>
    </row>
  </sheetData>
  <ignoredErrors>
    <ignoredError numberStoredAsText="1" sqref="A1:G9"/>
  </ignoredErrors>
</worksheet>
</file>

<file path=xl/worksheets/sheet8.xml><?xml version="1.0" encoding="utf-8"?>
<worksheet xmlns="http://schemas.openxmlformats.org/spreadsheetml/2006/main" xmlns:r="http://schemas.openxmlformats.org/officeDocument/2006/relationships">
  <dimension ref="A1:D18"/>
  <sheetViews>
    <sheetView workbookViewId="0"/>
  </sheetViews>
  <cols>
    <col min="1" max="1" width="48.83203125" customWidth="1"/>
    <col min="2" max="2" width="10.83203125" customWidth="1"/>
    <col min="3" max="3" width="4.83203125" customWidth="1"/>
    <col min="4" max="4" width="14.83203125" customWidth="1"/>
  </cols>
  <sheetData>
    <row r="1">
      <c r="A1" s="3" t="str">
        <v>Fuentes de financiamiento y partidas de proyecto (4.7)</v>
      </c>
    </row>
    <row r="3">
      <c r="A3" s="2" t="str">
        <v>Gastos previos (USD)</v>
      </c>
      <c r="B3" s="2" t="str">
        <v>kUSD</v>
      </c>
      <c r="D3" s="6">
        <f>=SUMIFS(Inversion!$D$4:$D$14,Inversion!$B$4:$B$14,"gastos_previos",Inversion!$C$4:$C$14,"USD")</f>
        <v>45</v>
      </c>
    </row>
    <row r="4">
      <c r="A4" s="2" t="str">
        <v>Inversión fija en USD</v>
      </c>
      <c r="B4" s="2" t="str">
        <v>kUSD</v>
      </c>
      <c r="D4" s="6">
        <f>=SUMIFS(Inversion!$D$4:$D$14,Inversion!$B$4:$B$14,"inversion_fija",Inversion!$C$4:$C$14,"USD")</f>
        <v>1200</v>
      </c>
    </row>
    <row r="5">
      <c r="A5" s="2" t="str">
        <v>Inversión fija en CUP (convertida)</v>
      </c>
      <c r="B5" s="2" t="str">
        <v>kUSD</v>
      </c>
      <c r="D5" s="6">
        <f>=(SUMIFS(Inversion!$D$4:$D$14,Inversion!$B$4:$B$14,"inversion_fija",Inversion!$C$4:$C$14,"CUP")/Parametros!$C$4)</f>
        <v>0</v>
      </c>
    </row>
    <row r="6">
      <c r="A6" s="2" t="str">
        <v>Inversión fija total</v>
      </c>
      <c r="B6" s="2" t="str">
        <v>kUSD</v>
      </c>
      <c r="D6" s="6">
        <f>=(Parametros!$C$2+Parametros!$C$2)</f>
        <v>1200</v>
      </c>
    </row>
    <row r="7">
      <c r="A7" s="2" t="str">
        <v>Capital de trabajo</v>
      </c>
      <c r="B7" s="2" t="str">
        <v>kUSD</v>
      </c>
      <c r="D7" s="6">
        <f>=Parametros!$C$25</f>
        <v>235</v>
      </c>
    </row>
    <row r="8">
      <c r="A8" s="22" t="str">
        <v>COSTO TOTAL DE LA INVERSIÓN INICIAL</v>
      </c>
      <c r="B8" s="2" t="str">
        <v>kUSD</v>
      </c>
      <c r="D8" s="21">
        <f>=((Parametros!$C$2+Parametros!$C$2)+Parametros!$C$25)</f>
        <v>1480</v>
      </c>
    </row>
    <row r="10">
      <c r="A10" s="2" t="str">
        <v>Total de aportaciones de los socios</v>
      </c>
      <c r="B10" s="2" t="str">
        <v>kUSD</v>
      </c>
      <c r="D10" s="6">
        <f>=SUM(Aportaciones!$F$4:$F$8)</f>
        <v>1180</v>
      </c>
    </row>
    <row r="11">
      <c r="A11" s="2" t="str">
        <v>Otras fuentes disponibles</v>
      </c>
      <c r="B11" s="2" t="str">
        <v>kUSD</v>
      </c>
      <c r="D11" s="6">
        <f>=Parametros!$C$24</f>
        <v>0</v>
      </c>
    </row>
    <row r="12">
      <c r="A12" s="2" t="str">
        <v>Crédito externo</v>
      </c>
      <c r="B12" s="2" t="str">
        <v>kUSD</v>
      </c>
      <c r="D12" s="6">
        <f>=Parametros!$C$23</f>
        <v>300</v>
      </c>
    </row>
    <row r="13">
      <c r="A13" s="22" t="str">
        <v>FINANCIACIÓN DISPONIBLE</v>
      </c>
      <c r="B13" s="2" t="str">
        <v>kUSD</v>
      </c>
      <c r="D13" s="21">
        <f>=((Parametros!$C$2+Parametros!$C$24)+Parametros!$C$23)</f>
        <v>1480</v>
      </c>
    </row>
    <row r="14">
      <c r="A14" s="2" t="str">
        <v>Necesidad de financiación</v>
      </c>
      <c r="B14" s="2" t="str">
        <v>kUSD</v>
      </c>
      <c r="D14" s="6">
        <f>=((Parametros!$C$2-Parametros!$C$2)-Parametros!$C$24)</f>
        <v>300</v>
      </c>
    </row>
    <row r="15">
      <c r="A15" s="22" t="str">
        <v>Diferencia de financiación</v>
      </c>
      <c r="B15" s="2" t="str">
        <v>kUSD</v>
      </c>
      <c r="D15" s="21">
        <f>=(Parametros!$C$2-Parametros!$C$2)</f>
        <v>0</v>
      </c>
    </row>
    <row r="17">
      <c r="A17" s="8" t="str">
        <v>Control de suficiencia:</v>
      </c>
      <c r="B17" s="25" t="str">
        <f>=IF(D15&lt;-0.05,"INSUFICIENTE",IF(D15&gt;0.05,"EXCESO","OK"))</f>
        <v>OK</v>
      </c>
    </row>
    <row r="18">
      <c r="A18" s="8" t="str">
        <v>Tasa, plazo, gracia, tipo de gracia y método de amortización: hoja Deuda (configuración editable) y hoja Parametros.</v>
      </c>
    </row>
  </sheetData>
  <ignoredErrors>
    <ignoredError numberStoredAsText="1" sqref="A1:D18"/>
  </ignoredErrors>
</worksheet>
</file>

<file path=xl/worksheets/sheet9.xml><?xml version="1.0" encoding="utf-8"?>
<worksheet xmlns="http://schemas.openxmlformats.org/spreadsheetml/2006/main" xmlns:r="http://schemas.openxmlformats.org/officeDocument/2006/relationships">
  <dimension ref="A1:V95"/>
  <sheetViews>
    <sheetView workbookViewId="0"/>
  </sheetViews>
  <cols>
    <col min="1" max="1" width="6.83203125" customWidth="1"/>
    <col min="2" max="2" width="38.83203125" customWidth="1"/>
    <col min="3" max="3" width="10.83203125" customWidth="1"/>
    <col min="4" max="4" width="12.83203125" customWidth="1"/>
    <col min="5" max="5" width="12.83203125" customWidth="1"/>
    <col min="6" max="6" width="9.83203125" customWidth="1"/>
    <col min="7" max="7" width="10.83203125" customWidth="1"/>
    <col min="8" max="8" width="11.83203125" customWidth="1"/>
    <col min="9" max="9" width="12.83203125" customWidth="1"/>
    <col min="10" max="10" width="11.83203125" customWidth="1"/>
    <col min="11" max="11" width="11.83203125" customWidth="1"/>
    <col min="12" max="12" width="13.83203125" customWidth="1"/>
    <col min="13" max="13" width="13.83203125" customWidth="1"/>
    <col min="14" max="14" width="12.83203125" customWidth="1"/>
    <col min="15" max="15" width="9.83203125" customWidth="1"/>
    <col min="16" max="16" width="9.83203125" customWidth="1"/>
    <col min="17" max="17" width="9.83203125" customWidth="1"/>
    <col min="18" max="18" width="9.83203125" customWidth="1"/>
    <col min="19" max="19" width="9.83203125" customWidth="1"/>
    <col min="20" max="20" width="9.83203125" customWidth="1"/>
    <col min="21" max="21" width="9.83203125" customWidth="1"/>
    <col min="22" max="22" width="10.83203125" customWidth="1"/>
  </cols>
  <sheetData>
    <row r="1">
      <c r="A1" s="3" t="str">
        <v>Servicios (4.6) — proyección por servicio y año (formato largo)</v>
      </c>
    </row>
    <row r="2">
      <c r="A2" s="8" t="str">
        <v>Escenario de capacidad activo: B (ampliaciones). La cantidad REAL limita la producción; la demanda prevista queda documentada aparte.</v>
      </c>
    </row>
    <row r="3">
      <c r="A3" s="12" t="str">
        <v>Año</v>
      </c>
      <c r="B3" s="12" t="str">
        <v>Servicio</v>
      </c>
      <c r="C3" s="12" t="str">
        <v>Precio base</v>
      </c>
      <c r="D3" s="12" t="str">
        <v>Demanda base mensual</v>
      </c>
      <c r="E3" s="12" t="str">
        <v>Tope directo (0 = recursos)</v>
      </c>
      <c r="F3" s="12" t="str">
        <v>CVU base</v>
      </c>
      <c r="G3" s="12" t="str">
        <v>Precio proy.</v>
      </c>
      <c r="H3" s="12" t="str">
        <v>Demanda proy.</v>
      </c>
      <c r="I3" s="12" t="str">
        <v>Cantidad real mensual</v>
      </c>
      <c r="J3" s="12" t="str">
        <v>Cantidad anual</v>
      </c>
      <c r="K3" s="12" t="str">
        <v>Costo unit. proy.</v>
      </c>
      <c r="L3" s="12" t="str">
        <v>Ingreso anual (USD)</v>
      </c>
      <c r="M3" s="12" t="str">
        <v>Costo var. total (USD)</v>
      </c>
      <c r="N3" s="12" t="str">
        <v>Margen (USD)</v>
      </c>
      <c r="O3" s="12" t="str">
        <v>Duración (min)</v>
      </c>
      <c r="P3" s="12" t="str">
        <v>Utilización</v>
      </c>
      <c r="Q3" s="12" t="str">
        <v>Arranque demanda (año)</v>
      </c>
      <c r="R3" s="12" t="str">
        <v>Usa: Gabinetes de atención (sillones)</v>
      </c>
      <c r="S3" s="12" t="str">
        <v>Usa: Equipos de imagenología dental</v>
      </c>
      <c r="T3" s="12" t="str">
        <v>Usa: Laboratorio de prótesis</v>
      </c>
      <c r="U3" s="12" t="str">
        <v>Usa: Profesionales estomatológicos</v>
      </c>
      <c r="V3" s="12" t="str">
        <v>Control</v>
      </c>
    </row>
    <row r="4">
      <c r="A4" s="19">
        <v>1</v>
      </c>
      <c r="B4" s="19" t="str">
        <v>Consulta estomatológica</v>
      </c>
      <c r="C4" s="16">
        <v>25</v>
      </c>
      <c r="D4" s="26">
        <v>400</v>
      </c>
      <c r="E4" s="26">
        <v>0</v>
      </c>
      <c r="F4" s="16">
        <v>6</v>
      </c>
      <c r="G4" s="6">
        <f>=(C4*((1+Parametros!$C$10)^MAX(0,($A4-1))))</f>
        <v>25</v>
      </c>
      <c r="H4" s="6">
        <f>=IF(($A4&gt;=Q4),(D4*((1+Parametros!$C$11)^MAX(0,($A4-Q4)))),0)</f>
        <v>400</v>
      </c>
      <c r="I4" s="6">
        <f>=Capacidad!$E$4</f>
        <v>400</v>
      </c>
      <c r="J4" s="6">
        <f>=(I4*12)</f>
        <v>4800</v>
      </c>
      <c r="K4" s="6">
        <f>=(F4*((1+Parametros!$C$8)^MAX(0,($A4-1))))</f>
        <v>6</v>
      </c>
      <c r="L4" s="6">
        <f>=(G4*J4)</f>
        <v>120000</v>
      </c>
      <c r="M4" s="6">
        <f>=(K4*J4)</f>
        <v>28800</v>
      </c>
      <c r="N4" s="6">
        <f>=(L4-M4)</f>
        <v>91200</v>
      </c>
      <c r="O4" s="19">
        <v>30</v>
      </c>
      <c r="P4" s="23">
        <f>=Capacidad!$F$4</f>
        <v>0.21929824561403508</v>
      </c>
      <c r="Q4" s="19">
        <v>1</v>
      </c>
      <c r="R4" s="19">
        <v>1</v>
      </c>
      <c r="S4" s="19">
        <v>0</v>
      </c>
      <c r="T4" s="19">
        <v>0</v>
      </c>
      <c r="U4" s="19">
        <v>1</v>
      </c>
      <c r="V4" s="25" t="str">
        <f>=IF(I4&lt;H4-0.000001,"LIMITADA","")</f>
        <v/>
      </c>
    </row>
    <row r="5">
      <c r="A5" s="19">
        <v>1</v>
      </c>
      <c r="B5" s="19" t="str">
        <v>Odontología preventiva (profilaxis y sellado)</v>
      </c>
      <c r="C5" s="16">
        <v>35</v>
      </c>
      <c r="D5" s="26">
        <v>160</v>
      </c>
      <c r="E5" s="26">
        <v>0</v>
      </c>
      <c r="F5" s="16">
        <v>10</v>
      </c>
      <c r="G5" s="6">
        <f>=(C5*((1+Parametros!$C$10)^MAX(0,($A5-1))))</f>
        <v>35</v>
      </c>
      <c r="H5" s="6">
        <f>=IF(($A5&gt;=Q5),(D5*((1+Parametros!$C$11)^MAX(0,($A5-Q5)))),0)</f>
        <v>160</v>
      </c>
      <c r="I5" s="6">
        <f>=Capacidad!$E$5</f>
        <v>160</v>
      </c>
      <c r="J5" s="6">
        <f>=(I5*12)</f>
        <v>1920</v>
      </c>
      <c r="K5" s="6">
        <f>=(F5*((1+Parametros!$C$8)^MAX(0,($A5-1))))</f>
        <v>10</v>
      </c>
      <c r="L5" s="6">
        <f>=(G5*J5)</f>
        <v>67200</v>
      </c>
      <c r="M5" s="6">
        <f>=(K5*J5)</f>
        <v>19200</v>
      </c>
      <c r="N5" s="6">
        <f>=(L5-M5)</f>
        <v>48000</v>
      </c>
      <c r="O5" s="19">
        <v>40</v>
      </c>
      <c r="P5" s="23">
        <f>=Capacidad!$F$5</f>
        <v>0.11695906432748537</v>
      </c>
      <c r="Q5" s="19">
        <v>1</v>
      </c>
      <c r="R5" s="19">
        <v>1</v>
      </c>
      <c r="S5" s="19">
        <v>0</v>
      </c>
      <c r="T5" s="19">
        <v>0</v>
      </c>
      <c r="U5" s="19">
        <v>1</v>
      </c>
      <c r="V5" s="25" t="str">
        <f>=IF(I5&lt;H5-0.000001,"LIMITADA","")</f>
        <v/>
      </c>
    </row>
    <row r="6">
      <c r="A6" s="19">
        <v>1</v>
      </c>
      <c r="B6" s="19" t="str">
        <v>Restauraciones (obturaciones)</v>
      </c>
      <c r="C6" s="16">
        <v>60</v>
      </c>
      <c r="D6" s="26">
        <v>220</v>
      </c>
      <c r="E6" s="26">
        <v>0</v>
      </c>
      <c r="F6" s="16">
        <v>18</v>
      </c>
      <c r="G6" s="6">
        <f>=(C6*((1+Parametros!$C$10)^MAX(0,($A6-1))))</f>
        <v>60</v>
      </c>
      <c r="H6" s="6">
        <f>=IF(($A6&gt;=Q6),(D6*((1+Parametros!$C$11)^MAX(0,($A6-Q6)))),0)</f>
        <v>220</v>
      </c>
      <c r="I6" s="6">
        <f>=Capacidad!$E$6</f>
        <v>220</v>
      </c>
      <c r="J6" s="6">
        <f>=(I6*12)</f>
        <v>2640</v>
      </c>
      <c r="K6" s="6">
        <f>=(F6*((1+Parametros!$C$8)^MAX(0,($A6-1))))</f>
        <v>18</v>
      </c>
      <c r="L6" s="6">
        <f>=(G6*J6)</f>
        <v>158400</v>
      </c>
      <c r="M6" s="6">
        <f>=(K6*J6)</f>
        <v>47520</v>
      </c>
      <c r="N6" s="6">
        <f>=(L6-M6)</f>
        <v>110880</v>
      </c>
      <c r="O6" s="19">
        <v>45</v>
      </c>
      <c r="P6" s="23">
        <f>=Capacidad!$F$6</f>
        <v>0.18092105263157895</v>
      </c>
      <c r="Q6" s="19">
        <v>1</v>
      </c>
      <c r="R6" s="19">
        <v>1</v>
      </c>
      <c r="S6" s="19">
        <v>0</v>
      </c>
      <c r="T6" s="19">
        <v>0</v>
      </c>
      <c r="U6" s="19">
        <v>1</v>
      </c>
      <c r="V6" s="25" t="str">
        <f>=IF(I6&lt;H6-0.000001,"LIMITADA","")</f>
        <v/>
      </c>
    </row>
    <row r="7">
      <c r="A7" s="19">
        <v>1</v>
      </c>
      <c r="B7" s="19" t="str">
        <v>Endodoncia</v>
      </c>
      <c r="C7" s="16">
        <v>150</v>
      </c>
      <c r="D7" s="26">
        <v>70</v>
      </c>
      <c r="E7" s="26">
        <v>0</v>
      </c>
      <c r="F7" s="16">
        <v>40</v>
      </c>
      <c r="G7" s="6">
        <f>=(C7*((1+Parametros!$C$10)^MAX(0,($A7-1))))</f>
        <v>150</v>
      </c>
      <c r="H7" s="6">
        <f>=IF(($A7&gt;=Q7),(D7*((1+Parametros!$C$11)^MAX(0,($A7-Q7)))),0)</f>
        <v>70</v>
      </c>
      <c r="I7" s="6">
        <f>=Capacidad!$E$7</f>
        <v>70</v>
      </c>
      <c r="J7" s="6">
        <f>=(I7*12)</f>
        <v>840</v>
      </c>
      <c r="K7" s="6">
        <f>=(F7*((1+Parametros!$C$8)^MAX(0,($A7-1))))</f>
        <v>40</v>
      </c>
      <c r="L7" s="6">
        <f>=(G7*J7)</f>
        <v>126000</v>
      </c>
      <c r="M7" s="6">
        <f>=(K7*J7)</f>
        <v>33600</v>
      </c>
      <c r="N7" s="6">
        <f>=(L7-M7)</f>
        <v>92400</v>
      </c>
      <c r="O7" s="19">
        <v>60</v>
      </c>
      <c r="P7" s="23">
        <f>=Capacidad!$F$7</f>
        <v>0.07675438596491228</v>
      </c>
      <c r="Q7" s="19">
        <v>1</v>
      </c>
      <c r="R7" s="19">
        <v>1</v>
      </c>
      <c r="S7" s="19">
        <v>0</v>
      </c>
      <c r="T7" s="19">
        <v>0</v>
      </c>
      <c r="U7" s="19">
        <v>1</v>
      </c>
      <c r="V7" s="25" t="str">
        <f>=IF(I7&lt;H7-0.000001,"LIMITADA","")</f>
        <v/>
      </c>
    </row>
    <row r="8">
      <c r="A8" s="19">
        <v>1</v>
      </c>
      <c r="B8" s="19" t="str">
        <v>Periodoncia</v>
      </c>
      <c r="C8" s="16">
        <v>120</v>
      </c>
      <c r="D8" s="26">
        <v>60</v>
      </c>
      <c r="E8" s="26">
        <v>0</v>
      </c>
      <c r="F8" s="16">
        <v>30</v>
      </c>
      <c r="G8" s="6">
        <f>=(C8*((1+Parametros!$C$10)^MAX(0,($A8-1))))</f>
        <v>120</v>
      </c>
      <c r="H8" s="6">
        <f>=IF(($A8&gt;=Q8),(D8*((1+Parametros!$C$11)^MAX(0,($A8-Q8)))),0)</f>
        <v>60</v>
      </c>
      <c r="I8" s="6">
        <f>=Capacidad!$E$8</f>
        <v>60</v>
      </c>
      <c r="J8" s="6">
        <f>=(I8*12)</f>
        <v>720</v>
      </c>
      <c r="K8" s="6">
        <f>=(F8*((1+Parametros!$C$8)^MAX(0,($A8-1))))</f>
        <v>30</v>
      </c>
      <c r="L8" s="6">
        <f>=(G8*J8)</f>
        <v>86400</v>
      </c>
      <c r="M8" s="6">
        <f>=(K8*J8)</f>
        <v>21600</v>
      </c>
      <c r="N8" s="6">
        <f>=(L8-M8)</f>
        <v>64800</v>
      </c>
      <c r="O8" s="19">
        <v>50</v>
      </c>
      <c r="P8" s="23">
        <f>=Capacidad!$F$8</f>
        <v>0.05482456140350877</v>
      </c>
      <c r="Q8" s="19">
        <v>1</v>
      </c>
      <c r="R8" s="19">
        <v>1</v>
      </c>
      <c r="S8" s="19">
        <v>0</v>
      </c>
      <c r="T8" s="19">
        <v>0</v>
      </c>
      <c r="U8" s="19">
        <v>1</v>
      </c>
      <c r="V8" s="25" t="str">
        <f>=IF(I8&lt;H8-0.000001,"LIMITADA","")</f>
        <v/>
      </c>
    </row>
    <row r="9">
      <c r="A9" s="19">
        <v>1</v>
      </c>
      <c r="B9" s="19" t="str">
        <v>Cirugía oral</v>
      </c>
      <c r="C9" s="16">
        <v>180</v>
      </c>
      <c r="D9" s="26">
        <v>35</v>
      </c>
      <c r="E9" s="26">
        <v>0</v>
      </c>
      <c r="F9" s="16">
        <v>45</v>
      </c>
      <c r="G9" s="6">
        <f>=(C9*((1+Parametros!$C$10)^MAX(0,($A9-1))))</f>
        <v>180</v>
      </c>
      <c r="H9" s="6">
        <f>=IF(($A9&gt;=Q9),(D9*((1+Parametros!$C$11)^MAX(0,($A9-Q9)))),0)</f>
        <v>35</v>
      </c>
      <c r="I9" s="6">
        <f>=Capacidad!$E$9</f>
        <v>35</v>
      </c>
      <c r="J9" s="6">
        <f>=(I9*12)</f>
        <v>420</v>
      </c>
      <c r="K9" s="6">
        <f>=(F9*((1+Parametros!$C$8)^MAX(0,($A9-1))))</f>
        <v>45</v>
      </c>
      <c r="L9" s="6">
        <f>=(G9*J9)</f>
        <v>75600</v>
      </c>
      <c r="M9" s="6">
        <f>=(K9*J9)</f>
        <v>18900</v>
      </c>
      <c r="N9" s="6">
        <f>=(L9-M9)</f>
        <v>56700</v>
      </c>
      <c r="O9" s="19">
        <v>60</v>
      </c>
      <c r="P9" s="23">
        <f>=Capacidad!$F$9</f>
        <v>0.03837719298245614</v>
      </c>
      <c r="Q9" s="19">
        <v>1</v>
      </c>
      <c r="R9" s="19">
        <v>1</v>
      </c>
      <c r="S9" s="19">
        <v>0</v>
      </c>
      <c r="T9" s="19">
        <v>0</v>
      </c>
      <c r="U9" s="19">
        <v>1</v>
      </c>
      <c r="V9" s="25" t="str">
        <f>=IF(I9&lt;H9-0.000001,"LIMITADA","")</f>
        <v/>
      </c>
    </row>
    <row r="10">
      <c r="A10" s="19">
        <v>1</v>
      </c>
      <c r="B10" s="19" t="str">
        <v>Prótesis estomatológica</v>
      </c>
      <c r="C10" s="16">
        <v>400</v>
      </c>
      <c r="D10" s="26">
        <v>28</v>
      </c>
      <c r="E10" s="26">
        <v>0</v>
      </c>
      <c r="F10" s="16">
        <v>120</v>
      </c>
      <c r="G10" s="6">
        <f>=(C10*((1+Parametros!$C$10)^MAX(0,($A10-1))))</f>
        <v>400</v>
      </c>
      <c r="H10" s="6">
        <f>=IF(($A10&gt;=Q10),(D10*((1+Parametros!$C$11)^MAX(0,($A10-Q10)))),0)</f>
        <v>28</v>
      </c>
      <c r="I10" s="6">
        <f>=Capacidad!$E$10</f>
        <v>28</v>
      </c>
      <c r="J10" s="6">
        <f>=(I10*12)</f>
        <v>336</v>
      </c>
      <c r="K10" s="6">
        <f>=(F10*((1+Parametros!$C$8)^MAX(0,($A10-1))))</f>
        <v>120</v>
      </c>
      <c r="L10" s="6">
        <f>=(G10*J10)</f>
        <v>134400</v>
      </c>
      <c r="M10" s="6">
        <f>=(K10*J10)</f>
        <v>40320</v>
      </c>
      <c r="N10" s="6">
        <f>=(L10-M10)</f>
        <v>94080</v>
      </c>
      <c r="O10" s="19">
        <v>90</v>
      </c>
      <c r="P10" s="23">
        <f>=Capacidad!$F$10</f>
        <v>0.30701754385964913</v>
      </c>
      <c r="Q10" s="19">
        <v>1</v>
      </c>
      <c r="R10" s="19">
        <v>0</v>
      </c>
      <c r="S10" s="19">
        <v>0</v>
      </c>
      <c r="T10" s="19">
        <v>1</v>
      </c>
      <c r="U10" s="19">
        <v>1</v>
      </c>
      <c r="V10" s="25" t="str">
        <f>=IF(I10&lt;H10-0.000001,"LIMITADA","")</f>
        <v/>
      </c>
    </row>
    <row r="11">
      <c r="A11" s="19">
        <v>1</v>
      </c>
      <c r="B11" s="19" t="str">
        <v>Ortodoncia</v>
      </c>
      <c r="C11" s="16">
        <v>1200</v>
      </c>
      <c r="D11" s="26">
        <v>9</v>
      </c>
      <c r="E11" s="26">
        <v>0</v>
      </c>
      <c r="F11" s="16">
        <v>300</v>
      </c>
      <c r="G11" s="6">
        <f>=(C11*((1+Parametros!$C$10)^MAX(0,($A11-1))))</f>
        <v>1200</v>
      </c>
      <c r="H11" s="6">
        <f>=IF(($A11&gt;=Q11),(D11*((1+Parametros!$C$11)^MAX(0,($A11-Q11)))),0)</f>
        <v>9</v>
      </c>
      <c r="I11" s="6">
        <f>=Capacidad!$E$11</f>
        <v>9</v>
      </c>
      <c r="J11" s="6">
        <f>=(I11*12)</f>
        <v>108</v>
      </c>
      <c r="K11" s="6">
        <f>=(F11*((1+Parametros!$C$8)^MAX(0,($A11-1))))</f>
        <v>300</v>
      </c>
      <c r="L11" s="6">
        <f>=(G11*J11)</f>
        <v>129600</v>
      </c>
      <c r="M11" s="6">
        <f>=(K11*J11)</f>
        <v>32400</v>
      </c>
      <c r="N11" s="6">
        <f>=(L11-M11)</f>
        <v>97200</v>
      </c>
      <c r="O11" s="19">
        <v>90</v>
      </c>
      <c r="P11" s="23">
        <f>=Capacidad!$F$11</f>
        <v>0.014802631578947368</v>
      </c>
      <c r="Q11" s="19">
        <v>1</v>
      </c>
      <c r="R11" s="19">
        <v>1</v>
      </c>
      <c r="S11" s="19">
        <v>0</v>
      </c>
      <c r="T11" s="19">
        <v>0</v>
      </c>
      <c r="U11" s="19">
        <v>1</v>
      </c>
      <c r="V11" s="25" t="str">
        <f>=IF(I11&lt;H11-0.000001,"LIMITADA","")</f>
        <v/>
      </c>
    </row>
    <row r="12">
      <c r="A12" s="19">
        <v>1</v>
      </c>
      <c r="B12" s="19" t="str">
        <v>Imagenología dental</v>
      </c>
      <c r="C12" s="16">
        <v>45</v>
      </c>
      <c r="D12" s="26">
        <v>130</v>
      </c>
      <c r="E12" s="26">
        <v>0</v>
      </c>
      <c r="F12" s="16">
        <v>8</v>
      </c>
      <c r="G12" s="6">
        <f>=(C12*((1+Parametros!$C$10)^MAX(0,($A12-1))))</f>
        <v>45</v>
      </c>
      <c r="H12" s="6">
        <f>=IF(($A12&gt;=Q12),(D12*((1+Parametros!$C$11)^MAX(0,($A12-Q12)))),0)</f>
        <v>130</v>
      </c>
      <c r="I12" s="6">
        <f>=Capacidad!$E$12</f>
        <v>130</v>
      </c>
      <c r="J12" s="6">
        <f>=(I12*12)</f>
        <v>1560</v>
      </c>
      <c r="K12" s="6">
        <f>=(F12*((1+Parametros!$C$8)^MAX(0,($A12-1))))</f>
        <v>8</v>
      </c>
      <c r="L12" s="6">
        <f>=(G12*J12)</f>
        <v>70200</v>
      </c>
      <c r="M12" s="6">
        <f>=(K12*J12)</f>
        <v>12480</v>
      </c>
      <c r="N12" s="6">
        <f>=(L12-M12)</f>
        <v>57720</v>
      </c>
      <c r="O12" s="19">
        <v>20</v>
      </c>
      <c r="P12" s="23">
        <f>=Capacidad!$F$12</f>
        <v>0.16718106995884774</v>
      </c>
      <c r="Q12" s="19">
        <v>1</v>
      </c>
      <c r="R12" s="19">
        <v>0</v>
      </c>
      <c r="S12" s="19">
        <v>1</v>
      </c>
      <c r="T12" s="19">
        <v>0</v>
      </c>
      <c r="U12" s="19">
        <v>1</v>
      </c>
      <c r="V12" s="25" t="str">
        <f>=IF(I12&lt;H12-0.000001,"LIMITADA","")</f>
        <v/>
      </c>
    </row>
    <row r="13">
      <c r="A13" s="19">
        <v>2</v>
      </c>
      <c r="B13" s="19" t="str">
        <v>Consulta estomatológica</v>
      </c>
      <c r="C13" s="16">
        <v>25</v>
      </c>
      <c r="D13" s="26">
        <v>400</v>
      </c>
      <c r="E13" s="26">
        <v>0</v>
      </c>
      <c r="F13" s="16">
        <v>6</v>
      </c>
      <c r="G13" s="6">
        <f>=(C13*((1+Parametros!$C$10)^MAX(0,($A13-1))))</f>
        <v>25.75</v>
      </c>
      <c r="H13" s="6">
        <f>=IF(($A13&gt;=Q13),(D13*((1+Parametros!$C$11)^MAX(0,($A13-Q13)))),0)</f>
        <v>420</v>
      </c>
      <c r="I13" s="6">
        <f>=Capacidad!$E$13</f>
        <v>420</v>
      </c>
      <c r="J13" s="6">
        <f>=(I13*12)</f>
        <v>5040</v>
      </c>
      <c r="K13" s="6">
        <f>=(F13*((1+Parametros!$C$8)^MAX(0,($A13-1))))</f>
        <v>6.24</v>
      </c>
      <c r="L13" s="6">
        <f>=(G13*J13)</f>
        <v>129780</v>
      </c>
      <c r="M13" s="6">
        <f>=(K13*J13)</f>
        <v>31449.600000000002</v>
      </c>
      <c r="N13" s="6">
        <f>=(L13-M13)</f>
        <v>98330.4</v>
      </c>
      <c r="O13" s="19">
        <v>30</v>
      </c>
      <c r="P13" s="23">
        <f>=Capacidad!$F$13</f>
        <v>0.23026315789473684</v>
      </c>
      <c r="Q13" s="19">
        <v>1</v>
      </c>
      <c r="R13" s="19">
        <v>1</v>
      </c>
      <c r="S13" s="19">
        <v>0</v>
      </c>
      <c r="T13" s="19">
        <v>0</v>
      </c>
      <c r="U13" s="19">
        <v>1</v>
      </c>
      <c r="V13" s="25" t="str">
        <f>=IF(I13&lt;H13-0.000001,"LIMITADA","")</f>
        <v/>
      </c>
    </row>
    <row r="14">
      <c r="A14" s="19">
        <v>2</v>
      </c>
      <c r="B14" s="19" t="str">
        <v>Odontología preventiva (profilaxis y sellado)</v>
      </c>
      <c r="C14" s="16">
        <v>35</v>
      </c>
      <c r="D14" s="26">
        <v>160</v>
      </c>
      <c r="E14" s="26">
        <v>0</v>
      </c>
      <c r="F14" s="16">
        <v>10</v>
      </c>
      <c r="G14" s="6">
        <f>=(C14*((1+Parametros!$C$10)^MAX(0,($A14-1))))</f>
        <v>36.050000000000004</v>
      </c>
      <c r="H14" s="6">
        <f>=IF(($A14&gt;=Q14),(D14*((1+Parametros!$C$11)^MAX(0,($A14-Q14)))),0)</f>
        <v>168</v>
      </c>
      <c r="I14" s="6">
        <f>=Capacidad!$E$14</f>
        <v>168</v>
      </c>
      <c r="J14" s="6">
        <f>=(I14*12)</f>
        <v>2016</v>
      </c>
      <c r="K14" s="6">
        <f>=(F14*((1+Parametros!$C$8)^MAX(0,($A14-1))))</f>
        <v>10.4</v>
      </c>
      <c r="L14" s="6">
        <f>=(G14*J14)</f>
        <v>72676.8</v>
      </c>
      <c r="M14" s="6">
        <f>=(K14*J14)</f>
        <v>20966.4</v>
      </c>
      <c r="N14" s="6">
        <f>=(L14-M14)</f>
        <v>51710.4</v>
      </c>
      <c r="O14" s="19">
        <v>40</v>
      </c>
      <c r="P14" s="23">
        <f>=Capacidad!$F$14</f>
        <v>0.12280701754385964</v>
      </c>
      <c r="Q14" s="19">
        <v>1</v>
      </c>
      <c r="R14" s="19">
        <v>1</v>
      </c>
      <c r="S14" s="19">
        <v>0</v>
      </c>
      <c r="T14" s="19">
        <v>0</v>
      </c>
      <c r="U14" s="19">
        <v>1</v>
      </c>
      <c r="V14" s="25" t="str">
        <f>=IF(I14&lt;H14-0.000001,"LIMITADA","")</f>
        <v/>
      </c>
    </row>
    <row r="15">
      <c r="A15" s="19">
        <v>2</v>
      </c>
      <c r="B15" s="19" t="str">
        <v>Restauraciones (obturaciones)</v>
      </c>
      <c r="C15" s="16">
        <v>60</v>
      </c>
      <c r="D15" s="26">
        <v>220</v>
      </c>
      <c r="E15" s="26">
        <v>0</v>
      </c>
      <c r="F15" s="16">
        <v>18</v>
      </c>
      <c r="G15" s="6">
        <f>=(C15*((1+Parametros!$C$10)^MAX(0,($A15-1))))</f>
        <v>61.800000000000004</v>
      </c>
      <c r="H15" s="6">
        <f>=IF(($A15&gt;=Q15),(D15*((1+Parametros!$C$11)^MAX(0,($A15-Q15)))),0)</f>
        <v>231</v>
      </c>
      <c r="I15" s="6">
        <f>=Capacidad!$E$15</f>
        <v>231</v>
      </c>
      <c r="J15" s="6">
        <f>=(I15*12)</f>
        <v>2772</v>
      </c>
      <c r="K15" s="6">
        <f>=(F15*((1+Parametros!$C$8)^MAX(0,($A15-1))))</f>
        <v>18.72</v>
      </c>
      <c r="L15" s="6">
        <f>=(G15*J15)</f>
        <v>171309.6</v>
      </c>
      <c r="M15" s="6">
        <f>=(K15*J15)</f>
        <v>51891.84</v>
      </c>
      <c r="N15" s="6">
        <f>=(L15-M15)</f>
        <v>119417.76000000001</v>
      </c>
      <c r="O15" s="19">
        <v>45</v>
      </c>
      <c r="P15" s="23">
        <f>=Capacidad!$F$15</f>
        <v>0.18996710526315788</v>
      </c>
      <c r="Q15" s="19">
        <v>1</v>
      </c>
      <c r="R15" s="19">
        <v>1</v>
      </c>
      <c r="S15" s="19">
        <v>0</v>
      </c>
      <c r="T15" s="19">
        <v>0</v>
      </c>
      <c r="U15" s="19">
        <v>1</v>
      </c>
      <c r="V15" s="25" t="str">
        <f>=IF(I15&lt;H15-0.000001,"LIMITADA","")</f>
        <v/>
      </c>
    </row>
    <row r="16">
      <c r="A16" s="19">
        <v>2</v>
      </c>
      <c r="B16" s="19" t="str">
        <v>Endodoncia</v>
      </c>
      <c r="C16" s="16">
        <v>150</v>
      </c>
      <c r="D16" s="26">
        <v>70</v>
      </c>
      <c r="E16" s="26">
        <v>0</v>
      </c>
      <c r="F16" s="16">
        <v>40</v>
      </c>
      <c r="G16" s="6">
        <f>=(C16*((1+Parametros!$C$10)^MAX(0,($A16-1))))</f>
        <v>154.5</v>
      </c>
      <c r="H16" s="6">
        <f>=IF(($A16&gt;=Q16),(D16*((1+Parametros!$C$11)^MAX(0,($A16-Q16)))),0)</f>
        <v>73.5</v>
      </c>
      <c r="I16" s="6">
        <f>=Capacidad!$E$16</f>
        <v>73.5</v>
      </c>
      <c r="J16" s="6">
        <f>=(I16*12)</f>
        <v>882</v>
      </c>
      <c r="K16" s="6">
        <f>=(F16*((1+Parametros!$C$8)^MAX(0,($A16-1))))</f>
        <v>41.6</v>
      </c>
      <c r="L16" s="6">
        <f>=(G16*J16)</f>
        <v>136269</v>
      </c>
      <c r="M16" s="6">
        <f>=(K16*J16)</f>
        <v>36691.200000000004</v>
      </c>
      <c r="N16" s="6">
        <f>=(L16-M16)</f>
        <v>99577.79999999999</v>
      </c>
      <c r="O16" s="19">
        <v>60</v>
      </c>
      <c r="P16" s="23">
        <f>=Capacidad!$F$16</f>
        <v>0.0805921052631579</v>
      </c>
      <c r="Q16" s="19">
        <v>1</v>
      </c>
      <c r="R16" s="19">
        <v>1</v>
      </c>
      <c r="S16" s="19">
        <v>0</v>
      </c>
      <c r="T16" s="19">
        <v>0</v>
      </c>
      <c r="U16" s="19">
        <v>1</v>
      </c>
      <c r="V16" s="25" t="str">
        <f>=IF(I16&lt;H16-0.000001,"LIMITADA","")</f>
        <v/>
      </c>
    </row>
    <row r="17">
      <c r="A17" s="19">
        <v>2</v>
      </c>
      <c r="B17" s="19" t="str">
        <v>Periodoncia</v>
      </c>
      <c r="C17" s="16">
        <v>120</v>
      </c>
      <c r="D17" s="26">
        <v>60</v>
      </c>
      <c r="E17" s="26">
        <v>0</v>
      </c>
      <c r="F17" s="16">
        <v>30</v>
      </c>
      <c r="G17" s="6">
        <f>=(C17*((1+Parametros!$C$10)^MAX(0,($A17-1))))</f>
        <v>123.60000000000001</v>
      </c>
      <c r="H17" s="6">
        <f>=IF(($A17&gt;=Q17),(D17*((1+Parametros!$C$11)^MAX(0,($A17-Q17)))),0)</f>
        <v>63</v>
      </c>
      <c r="I17" s="6">
        <f>=Capacidad!$E$17</f>
        <v>63</v>
      </c>
      <c r="J17" s="6">
        <f>=(I17*12)</f>
        <v>756</v>
      </c>
      <c r="K17" s="6">
        <f>=(F17*((1+Parametros!$C$8)^MAX(0,($A17-1))))</f>
        <v>31.200000000000003</v>
      </c>
      <c r="L17" s="6">
        <f>=(G17*J17)</f>
        <v>93441.6</v>
      </c>
      <c r="M17" s="6">
        <f>=(K17*J17)</f>
        <v>23587.2</v>
      </c>
      <c r="N17" s="6">
        <f>=(L17-M17)</f>
        <v>69854.40000000001</v>
      </c>
      <c r="O17" s="19">
        <v>50</v>
      </c>
      <c r="P17" s="23">
        <f>=Capacidad!$F$17</f>
        <v>0.05756578947368421</v>
      </c>
      <c r="Q17" s="19">
        <v>1</v>
      </c>
      <c r="R17" s="19">
        <v>1</v>
      </c>
      <c r="S17" s="19">
        <v>0</v>
      </c>
      <c r="T17" s="19">
        <v>0</v>
      </c>
      <c r="U17" s="19">
        <v>1</v>
      </c>
      <c r="V17" s="25" t="str">
        <f>=IF(I17&lt;H17-0.000001,"LIMITADA","")</f>
        <v/>
      </c>
    </row>
    <row r="18">
      <c r="A18" s="19">
        <v>2</v>
      </c>
      <c r="B18" s="19" t="str">
        <v>Cirugía oral</v>
      </c>
      <c r="C18" s="16">
        <v>180</v>
      </c>
      <c r="D18" s="26">
        <v>35</v>
      </c>
      <c r="E18" s="26">
        <v>0</v>
      </c>
      <c r="F18" s="16">
        <v>45</v>
      </c>
      <c r="G18" s="6">
        <f>=(C18*((1+Parametros!$C$10)^MAX(0,($A18-1))))</f>
        <v>185.4</v>
      </c>
      <c r="H18" s="6">
        <f>=IF(($A18&gt;=Q18),(D18*((1+Parametros!$C$11)^MAX(0,($A18-Q18)))),0)</f>
        <v>36.75</v>
      </c>
      <c r="I18" s="6">
        <f>=Capacidad!$E$18</f>
        <v>36.75</v>
      </c>
      <c r="J18" s="6">
        <f>=(I18*12)</f>
        <v>441</v>
      </c>
      <c r="K18" s="6">
        <f>=(F18*((1+Parametros!$C$8)^MAX(0,($A18-1))))</f>
        <v>46.800000000000004</v>
      </c>
      <c r="L18" s="6">
        <f>=(G18*J18)</f>
        <v>81761.40000000001</v>
      </c>
      <c r="M18" s="6">
        <f>=(K18*J18)</f>
        <v>20638.800000000003</v>
      </c>
      <c r="N18" s="6">
        <f>=(L18-M18)</f>
        <v>61122.600000000006</v>
      </c>
      <c r="O18" s="19">
        <v>60</v>
      </c>
      <c r="P18" s="23">
        <f>=Capacidad!$F$18</f>
        <v>0.04029605263157895</v>
      </c>
      <c r="Q18" s="19">
        <v>1</v>
      </c>
      <c r="R18" s="19">
        <v>1</v>
      </c>
      <c r="S18" s="19">
        <v>0</v>
      </c>
      <c r="T18" s="19">
        <v>0</v>
      </c>
      <c r="U18" s="19">
        <v>1</v>
      </c>
      <c r="V18" s="25" t="str">
        <f>=IF(I18&lt;H18-0.000001,"LIMITADA","")</f>
        <v/>
      </c>
    </row>
    <row r="19">
      <c r="A19" s="19">
        <v>2</v>
      </c>
      <c r="B19" s="19" t="str">
        <v>Prótesis estomatológica</v>
      </c>
      <c r="C19" s="16">
        <v>400</v>
      </c>
      <c r="D19" s="26">
        <v>28</v>
      </c>
      <c r="E19" s="26">
        <v>0</v>
      </c>
      <c r="F19" s="16">
        <v>120</v>
      </c>
      <c r="G19" s="6">
        <f>=(C19*((1+Parametros!$C$10)^MAX(0,($A19-1))))</f>
        <v>412</v>
      </c>
      <c r="H19" s="6">
        <f>=IF(($A19&gt;=Q19),(D19*((1+Parametros!$C$11)^MAX(0,($A19-Q19)))),0)</f>
        <v>29.400000000000002</v>
      </c>
      <c r="I19" s="6">
        <f>=Capacidad!$E$19</f>
        <v>29.400000000000002</v>
      </c>
      <c r="J19" s="6">
        <f>=(I19*12)</f>
        <v>352.8</v>
      </c>
      <c r="K19" s="6">
        <f>=(F19*((1+Parametros!$C$8)^MAX(0,($A19-1))))</f>
        <v>124.80000000000001</v>
      </c>
      <c r="L19" s="6">
        <f>=(G19*J19)</f>
        <v>145353.6</v>
      </c>
      <c r="M19" s="6">
        <f>=(K19*J19)</f>
        <v>44029.44</v>
      </c>
      <c r="N19" s="6">
        <f>=(L19-M19)</f>
        <v>101324.16</v>
      </c>
      <c r="O19" s="19">
        <v>90</v>
      </c>
      <c r="P19" s="23">
        <f>=Capacidad!$F$19</f>
        <v>0.3223684210526316</v>
      </c>
      <c r="Q19" s="19">
        <v>1</v>
      </c>
      <c r="R19" s="19">
        <v>0</v>
      </c>
      <c r="S19" s="19">
        <v>0</v>
      </c>
      <c r="T19" s="19">
        <v>1</v>
      </c>
      <c r="U19" s="19">
        <v>1</v>
      </c>
      <c r="V19" s="25" t="str">
        <f>=IF(I19&lt;H19-0.000001,"LIMITADA","")</f>
        <v/>
      </c>
    </row>
    <row r="20">
      <c r="A20" s="19">
        <v>2</v>
      </c>
      <c r="B20" s="19" t="str">
        <v>Ortodoncia</v>
      </c>
      <c r="C20" s="16">
        <v>1200</v>
      </c>
      <c r="D20" s="26">
        <v>9</v>
      </c>
      <c r="E20" s="26">
        <v>0</v>
      </c>
      <c r="F20" s="16">
        <v>300</v>
      </c>
      <c r="G20" s="6">
        <f>=(C20*((1+Parametros!$C$10)^MAX(0,($A20-1))))</f>
        <v>1236</v>
      </c>
      <c r="H20" s="6">
        <f>=IF(($A20&gt;=Q20),(D20*((1+Parametros!$C$11)^MAX(0,($A20-Q20)))),0)</f>
        <v>9.450000000000001</v>
      </c>
      <c r="I20" s="6">
        <f>=Capacidad!$E$20</f>
        <v>9.450000000000001</v>
      </c>
      <c r="J20" s="6">
        <f>=(I20*12)</f>
        <v>113.4</v>
      </c>
      <c r="K20" s="6">
        <f>=(F20*((1+Parametros!$C$8)^MAX(0,($A20-1))))</f>
        <v>312</v>
      </c>
      <c r="L20" s="6">
        <f>=(G20*J20)</f>
        <v>140162.4</v>
      </c>
      <c r="M20" s="6">
        <f>=(K20*J20)</f>
        <v>35380.8</v>
      </c>
      <c r="N20" s="6">
        <f>=(L20-M20)</f>
        <v>104781.59999999999</v>
      </c>
      <c r="O20" s="19">
        <v>90</v>
      </c>
      <c r="P20" s="23">
        <f>=Capacidad!$F$20</f>
        <v>0.015542763157894738</v>
      </c>
      <c r="Q20" s="19">
        <v>1</v>
      </c>
      <c r="R20" s="19">
        <v>1</v>
      </c>
      <c r="S20" s="19">
        <v>0</v>
      </c>
      <c r="T20" s="19">
        <v>0</v>
      </c>
      <c r="U20" s="19">
        <v>1</v>
      </c>
      <c r="V20" s="25" t="str">
        <f>=IF(I20&lt;H20-0.000001,"LIMITADA","")</f>
        <v/>
      </c>
    </row>
    <row r="21">
      <c r="A21" s="19">
        <v>2</v>
      </c>
      <c r="B21" s="19" t="str">
        <v>Imagenología dental</v>
      </c>
      <c r="C21" s="16">
        <v>45</v>
      </c>
      <c r="D21" s="26">
        <v>130</v>
      </c>
      <c r="E21" s="26">
        <v>0</v>
      </c>
      <c r="F21" s="16">
        <v>8</v>
      </c>
      <c r="G21" s="6">
        <f>=(C21*((1+Parametros!$C$10)^MAX(0,($A21-1))))</f>
        <v>46.35</v>
      </c>
      <c r="H21" s="6">
        <f>=IF(($A21&gt;=Q21),(D21*((1+Parametros!$C$11)^MAX(0,($A21-Q21)))),0)</f>
        <v>136.5</v>
      </c>
      <c r="I21" s="6">
        <f>=Capacidad!$E$21</f>
        <v>136.5</v>
      </c>
      <c r="J21" s="6">
        <f>=(I21*12)</f>
        <v>1638</v>
      </c>
      <c r="K21" s="6">
        <f>=(F21*((1+Parametros!$C$8)^MAX(0,($A21-1))))</f>
        <v>8.32</v>
      </c>
      <c r="L21" s="6">
        <f>=(G21*J21)</f>
        <v>75921.3</v>
      </c>
      <c r="M21" s="6">
        <f>=(K21*J21)</f>
        <v>13628.16</v>
      </c>
      <c r="N21" s="6">
        <f>=(L21-M21)</f>
        <v>62293.14</v>
      </c>
      <c r="O21" s="19">
        <v>20</v>
      </c>
      <c r="P21" s="23">
        <f>=Capacidad!$F$21</f>
        <v>0.17554012345679013</v>
      </c>
      <c r="Q21" s="19">
        <v>1</v>
      </c>
      <c r="R21" s="19">
        <v>0</v>
      </c>
      <c r="S21" s="19">
        <v>1</v>
      </c>
      <c r="T21" s="19">
        <v>0</v>
      </c>
      <c r="U21" s="19">
        <v>1</v>
      </c>
      <c r="V21" s="25" t="str">
        <f>=IF(I21&lt;H21-0.000001,"LIMITADA","")</f>
        <v/>
      </c>
    </row>
    <row r="22">
      <c r="A22" s="19">
        <v>3</v>
      </c>
      <c r="B22" s="19" t="str">
        <v>Consulta estomatológica</v>
      </c>
      <c r="C22" s="16">
        <v>25</v>
      </c>
      <c r="D22" s="26">
        <v>400</v>
      </c>
      <c r="E22" s="26">
        <v>0</v>
      </c>
      <c r="F22" s="16">
        <v>6</v>
      </c>
      <c r="G22" s="6">
        <f>=(C22*((1+Parametros!$C$10)^MAX(0,($A22-1))))</f>
        <v>26.522499999999997</v>
      </c>
      <c r="H22" s="6">
        <f>=IF(($A22&gt;=Q22),(D22*((1+Parametros!$C$11)^MAX(0,($A22-Q22)))),0)</f>
        <v>441</v>
      </c>
      <c r="I22" s="6">
        <f>=Capacidad!$E$22</f>
        <v>441</v>
      </c>
      <c r="J22" s="6">
        <f>=(I22*12)</f>
        <v>5292</v>
      </c>
      <c r="K22" s="6">
        <f>=(F22*((1+Parametros!$C$8)^MAX(0,($A22-1))))</f>
        <v>6.489600000000001</v>
      </c>
      <c r="L22" s="6">
        <f>=(G22*J22)</f>
        <v>140357.06999999998</v>
      </c>
      <c r="M22" s="6">
        <f>=(K22*J22)</f>
        <v>34342.963200000006</v>
      </c>
      <c r="N22" s="6">
        <f>=(L22-M22)</f>
        <v>106014.10679999998</v>
      </c>
      <c r="O22" s="19">
        <v>30</v>
      </c>
      <c r="P22" s="23">
        <f>=Capacidad!$F$22</f>
        <v>0.24177631578947367</v>
      </c>
      <c r="Q22" s="19">
        <v>1</v>
      </c>
      <c r="R22" s="19">
        <v>1</v>
      </c>
      <c r="S22" s="19">
        <v>0</v>
      </c>
      <c r="T22" s="19">
        <v>0</v>
      </c>
      <c r="U22" s="19">
        <v>1</v>
      </c>
      <c r="V22" s="25" t="str">
        <f>=IF(I22&lt;H22-0.000001,"LIMITADA","")</f>
        <v/>
      </c>
    </row>
    <row r="23">
      <c r="A23" s="19">
        <v>3</v>
      </c>
      <c r="B23" s="19" t="str">
        <v>Odontología preventiva (profilaxis y sellado)</v>
      </c>
      <c r="C23" s="16">
        <v>35</v>
      </c>
      <c r="D23" s="26">
        <v>160</v>
      </c>
      <c r="E23" s="26">
        <v>0</v>
      </c>
      <c r="F23" s="16">
        <v>10</v>
      </c>
      <c r="G23" s="6">
        <f>=(C23*((1+Parametros!$C$10)^MAX(0,($A23-1))))</f>
        <v>37.131499999999996</v>
      </c>
      <c r="H23" s="6">
        <f>=IF(($A23&gt;=Q23),(D23*((1+Parametros!$C$11)^MAX(0,($A23-Q23)))),0)</f>
        <v>176.4</v>
      </c>
      <c r="I23" s="6">
        <f>=Capacidad!$E$23</f>
        <v>176.4</v>
      </c>
      <c r="J23" s="6">
        <f>=(I23*12)</f>
        <v>2116.8</v>
      </c>
      <c r="K23" s="6">
        <f>=(F23*((1+Parametros!$C$8)^MAX(0,($A23-1))))</f>
        <v>10.816</v>
      </c>
      <c r="L23" s="6">
        <f>=(G23*J23)</f>
        <v>78599.9592</v>
      </c>
      <c r="M23" s="6">
        <f>=(K23*J23)</f>
        <v>22895.308800000003</v>
      </c>
      <c r="N23" s="6">
        <f>=(L23-M23)</f>
        <v>55704.6504</v>
      </c>
      <c r="O23" s="19">
        <v>40</v>
      </c>
      <c r="P23" s="23">
        <f>=Capacidad!$F$23</f>
        <v>0.12894736842105264</v>
      </c>
      <c r="Q23" s="19">
        <v>1</v>
      </c>
      <c r="R23" s="19">
        <v>1</v>
      </c>
      <c r="S23" s="19">
        <v>0</v>
      </c>
      <c r="T23" s="19">
        <v>0</v>
      </c>
      <c r="U23" s="19">
        <v>1</v>
      </c>
      <c r="V23" s="25" t="str">
        <f>=IF(I23&lt;H23-0.000001,"LIMITADA","")</f>
        <v/>
      </c>
    </row>
    <row r="24">
      <c r="A24" s="19">
        <v>3</v>
      </c>
      <c r="B24" s="19" t="str">
        <v>Restauraciones (obturaciones)</v>
      </c>
      <c r="C24" s="16">
        <v>60</v>
      </c>
      <c r="D24" s="26">
        <v>220</v>
      </c>
      <c r="E24" s="26">
        <v>0</v>
      </c>
      <c r="F24" s="16">
        <v>18</v>
      </c>
      <c r="G24" s="6">
        <f>=(C24*((1+Parametros!$C$10)^MAX(0,($A24-1))))</f>
        <v>63.653999999999996</v>
      </c>
      <c r="H24" s="6">
        <f>=IF(($A24&gt;=Q24),(D24*((1+Parametros!$C$11)^MAX(0,($A24-Q24)))),0)</f>
        <v>242.55</v>
      </c>
      <c r="I24" s="6">
        <f>=Capacidad!$E$24</f>
        <v>242.55</v>
      </c>
      <c r="J24" s="6">
        <f>=(I24*12)</f>
        <v>2910.6000000000004</v>
      </c>
      <c r="K24" s="6">
        <f>=(F24*((1+Parametros!$C$8)^MAX(0,($A24-1))))</f>
        <v>19.4688</v>
      </c>
      <c r="L24" s="6">
        <f>=(G24*J24)</f>
        <v>185271.3324</v>
      </c>
      <c r="M24" s="6">
        <f>=(K24*J24)</f>
        <v>56665.88928000001</v>
      </c>
      <c r="N24" s="6">
        <f>=(L24-M24)</f>
        <v>128605.44312000001</v>
      </c>
      <c r="O24" s="19">
        <v>45</v>
      </c>
      <c r="P24" s="23">
        <f>=Capacidad!$F$24</f>
        <v>0.1994654605263158</v>
      </c>
      <c r="Q24" s="19">
        <v>1</v>
      </c>
      <c r="R24" s="19">
        <v>1</v>
      </c>
      <c r="S24" s="19">
        <v>0</v>
      </c>
      <c r="T24" s="19">
        <v>0</v>
      </c>
      <c r="U24" s="19">
        <v>1</v>
      </c>
      <c r="V24" s="25" t="str">
        <f>=IF(I24&lt;H24-0.000001,"LIMITADA","")</f>
        <v/>
      </c>
    </row>
    <row r="25">
      <c r="A25" s="19">
        <v>3</v>
      </c>
      <c r="B25" s="19" t="str">
        <v>Endodoncia</v>
      </c>
      <c r="C25" s="16">
        <v>150</v>
      </c>
      <c r="D25" s="26">
        <v>70</v>
      </c>
      <c r="E25" s="26">
        <v>0</v>
      </c>
      <c r="F25" s="16">
        <v>40</v>
      </c>
      <c r="G25" s="6">
        <f>=(C25*((1+Parametros!$C$10)^MAX(0,($A25-1))))</f>
        <v>159.135</v>
      </c>
      <c r="H25" s="6">
        <f>=IF(($A25&gt;=Q25),(D25*((1+Parametros!$C$11)^MAX(0,($A25-Q25)))),0)</f>
        <v>77.175</v>
      </c>
      <c r="I25" s="6">
        <f>=Capacidad!$E$25</f>
        <v>77.175</v>
      </c>
      <c r="J25" s="6">
        <f>=(I25*12)</f>
        <v>926.0999999999999</v>
      </c>
      <c r="K25" s="6">
        <f>=(F25*((1+Parametros!$C$8)^MAX(0,($A25-1))))</f>
        <v>43.264</v>
      </c>
      <c r="L25" s="6">
        <f>=(G25*J25)</f>
        <v>147374.92349999998</v>
      </c>
      <c r="M25" s="6">
        <f>=(K25*J25)</f>
        <v>40066.7904</v>
      </c>
      <c r="N25" s="6">
        <f>=(L25-M25)</f>
        <v>107308.13309999998</v>
      </c>
      <c r="O25" s="19">
        <v>60</v>
      </c>
      <c r="P25" s="23">
        <f>=Capacidad!$F$25</f>
        <v>0.08462171052631579</v>
      </c>
      <c r="Q25" s="19">
        <v>1</v>
      </c>
      <c r="R25" s="19">
        <v>1</v>
      </c>
      <c r="S25" s="19">
        <v>0</v>
      </c>
      <c r="T25" s="19">
        <v>0</v>
      </c>
      <c r="U25" s="19">
        <v>1</v>
      </c>
      <c r="V25" s="25" t="str">
        <f>=IF(I25&lt;H25-0.000001,"LIMITADA","")</f>
        <v/>
      </c>
    </row>
    <row r="26">
      <c r="A26" s="19">
        <v>3</v>
      </c>
      <c r="B26" s="19" t="str">
        <v>Periodoncia</v>
      </c>
      <c r="C26" s="16">
        <v>120</v>
      </c>
      <c r="D26" s="26">
        <v>60</v>
      </c>
      <c r="E26" s="26">
        <v>0</v>
      </c>
      <c r="F26" s="16">
        <v>30</v>
      </c>
      <c r="G26" s="6">
        <f>=(C26*((1+Parametros!$C$10)^MAX(0,($A26-1))))</f>
        <v>127.30799999999999</v>
      </c>
      <c r="H26" s="6">
        <f>=IF(($A26&gt;=Q26),(D26*((1+Parametros!$C$11)^MAX(0,($A26-Q26)))),0)</f>
        <v>66.15</v>
      </c>
      <c r="I26" s="6">
        <f>=Capacidad!$E$26</f>
        <v>66.15</v>
      </c>
      <c r="J26" s="6">
        <f>=(I26*12)</f>
        <v>793.8000000000001</v>
      </c>
      <c r="K26" s="6">
        <f>=(F26*((1+Parametros!$C$8)^MAX(0,($A26-1))))</f>
        <v>32.448</v>
      </c>
      <c r="L26" s="6">
        <f>=(G26*J26)</f>
        <v>101057.0904</v>
      </c>
      <c r="M26" s="6">
        <f>=(K26*J26)</f>
        <v>25757.222400000002</v>
      </c>
      <c r="N26" s="6">
        <f>=(L26-M26)</f>
        <v>75299.868</v>
      </c>
      <c r="O26" s="19">
        <v>50</v>
      </c>
      <c r="P26" s="23">
        <f>=Capacidad!$F$26</f>
        <v>0.06044407894736842</v>
      </c>
      <c r="Q26" s="19">
        <v>1</v>
      </c>
      <c r="R26" s="19">
        <v>1</v>
      </c>
      <c r="S26" s="19">
        <v>0</v>
      </c>
      <c r="T26" s="19">
        <v>0</v>
      </c>
      <c r="U26" s="19">
        <v>1</v>
      </c>
      <c r="V26" s="25" t="str">
        <f>=IF(I26&lt;H26-0.000001,"LIMITADA","")</f>
        <v/>
      </c>
    </row>
    <row r="27">
      <c r="A27" s="19">
        <v>3</v>
      </c>
      <c r="B27" s="19" t="str">
        <v>Cirugía oral</v>
      </c>
      <c r="C27" s="16">
        <v>180</v>
      </c>
      <c r="D27" s="26">
        <v>35</v>
      </c>
      <c r="E27" s="26">
        <v>0</v>
      </c>
      <c r="F27" s="16">
        <v>45</v>
      </c>
      <c r="G27" s="6">
        <f>=(C27*((1+Parametros!$C$10)^MAX(0,($A27-1))))</f>
        <v>190.962</v>
      </c>
      <c r="H27" s="6">
        <f>=IF(($A27&gt;=Q27),(D27*((1+Parametros!$C$11)^MAX(0,($A27-Q27)))),0)</f>
        <v>38.5875</v>
      </c>
      <c r="I27" s="6">
        <f>=Capacidad!$E$27</f>
        <v>38.5875</v>
      </c>
      <c r="J27" s="6">
        <f>=(I27*12)</f>
        <v>463.04999999999995</v>
      </c>
      <c r="K27" s="6">
        <f>=(F27*((1+Parametros!$C$8)^MAX(0,($A27-1))))</f>
        <v>48.672000000000004</v>
      </c>
      <c r="L27" s="6">
        <f>=(G27*J27)</f>
        <v>88424.95409999999</v>
      </c>
      <c r="M27" s="6">
        <f>=(K27*J27)</f>
        <v>22537.5696</v>
      </c>
      <c r="N27" s="6">
        <f>=(L27-M27)</f>
        <v>65887.38449999999</v>
      </c>
      <c r="O27" s="19">
        <v>60</v>
      </c>
      <c r="P27" s="23">
        <f>=Capacidad!$F$27</f>
        <v>0.04231085526315789</v>
      </c>
      <c r="Q27" s="19">
        <v>1</v>
      </c>
      <c r="R27" s="19">
        <v>1</v>
      </c>
      <c r="S27" s="19">
        <v>0</v>
      </c>
      <c r="T27" s="19">
        <v>0</v>
      </c>
      <c r="U27" s="19">
        <v>1</v>
      </c>
      <c r="V27" s="25" t="str">
        <f>=IF(I27&lt;H27-0.000001,"LIMITADA","")</f>
        <v/>
      </c>
    </row>
    <row r="28">
      <c r="A28" s="19">
        <v>3</v>
      </c>
      <c r="B28" s="19" t="str">
        <v>Prótesis estomatológica</v>
      </c>
      <c r="C28" s="16">
        <v>400</v>
      </c>
      <c r="D28" s="26">
        <v>28</v>
      </c>
      <c r="E28" s="26">
        <v>0</v>
      </c>
      <c r="F28" s="16">
        <v>120</v>
      </c>
      <c r="G28" s="6">
        <f>=(C28*((1+Parametros!$C$10)^MAX(0,($A28-1))))</f>
        <v>424.35999999999996</v>
      </c>
      <c r="H28" s="6">
        <f>=IF(($A28&gt;=Q28),(D28*((1+Parametros!$C$11)^MAX(0,($A28-Q28)))),0)</f>
        <v>30.87</v>
      </c>
      <c r="I28" s="6">
        <f>=Capacidad!$E$28</f>
        <v>30.87</v>
      </c>
      <c r="J28" s="6">
        <f>=(I28*12)</f>
        <v>370.44</v>
      </c>
      <c r="K28" s="6">
        <f>=(F28*((1+Parametros!$C$8)^MAX(0,($A28-1))))</f>
        <v>129.792</v>
      </c>
      <c r="L28" s="6">
        <f>=(G28*J28)</f>
        <v>157199.9184</v>
      </c>
      <c r="M28" s="6">
        <f>=(K28*J28)</f>
        <v>48080.14848</v>
      </c>
      <c r="N28" s="6">
        <f>=(L28-M28)</f>
        <v>109119.76991999999</v>
      </c>
      <c r="O28" s="19">
        <v>90</v>
      </c>
      <c r="P28" s="23">
        <f>=Capacidad!$F$28</f>
        <v>0.33848684210526314</v>
      </c>
      <c r="Q28" s="19">
        <v>1</v>
      </c>
      <c r="R28" s="19">
        <v>0</v>
      </c>
      <c r="S28" s="19">
        <v>0</v>
      </c>
      <c r="T28" s="19">
        <v>1</v>
      </c>
      <c r="U28" s="19">
        <v>1</v>
      </c>
      <c r="V28" s="25" t="str">
        <f>=IF(I28&lt;H28-0.000001,"LIMITADA","")</f>
        <v/>
      </c>
    </row>
    <row r="29">
      <c r="A29" s="19">
        <v>3</v>
      </c>
      <c r="B29" s="19" t="str">
        <v>Ortodoncia</v>
      </c>
      <c r="C29" s="16">
        <v>1200</v>
      </c>
      <c r="D29" s="26">
        <v>9</v>
      </c>
      <c r="E29" s="26">
        <v>0</v>
      </c>
      <c r="F29" s="16">
        <v>300</v>
      </c>
      <c r="G29" s="6">
        <f>=(C29*((1+Parametros!$C$10)^MAX(0,($A29-1))))</f>
        <v>1273.08</v>
      </c>
      <c r="H29" s="6">
        <f>=IF(($A29&gt;=Q29),(D29*((1+Parametros!$C$11)^MAX(0,($A29-Q29)))),0)</f>
        <v>9.9225</v>
      </c>
      <c r="I29" s="6">
        <f>=Capacidad!$E$29</f>
        <v>9.9225</v>
      </c>
      <c r="J29" s="6">
        <f>=(I29*12)</f>
        <v>119.07</v>
      </c>
      <c r="K29" s="6">
        <f>=(F29*((1+Parametros!$C$8)^MAX(0,($A29-1))))</f>
        <v>324.48</v>
      </c>
      <c r="L29" s="6">
        <f>=(G29*J29)</f>
        <v>151585.63559999998</v>
      </c>
      <c r="M29" s="6">
        <f>=(K29*J29)</f>
        <v>38635.8336</v>
      </c>
      <c r="N29" s="6">
        <f>=(L29-M29)</f>
        <v>112949.80199999998</v>
      </c>
      <c r="O29" s="19">
        <v>90</v>
      </c>
      <c r="P29" s="23">
        <f>=Capacidad!$F$29</f>
        <v>0.016319901315789472</v>
      </c>
      <c r="Q29" s="19">
        <v>1</v>
      </c>
      <c r="R29" s="19">
        <v>1</v>
      </c>
      <c r="S29" s="19">
        <v>0</v>
      </c>
      <c r="T29" s="19">
        <v>0</v>
      </c>
      <c r="U29" s="19">
        <v>1</v>
      </c>
      <c r="V29" s="25" t="str">
        <f>=IF(I29&lt;H29-0.000001,"LIMITADA","")</f>
        <v/>
      </c>
    </row>
    <row r="30">
      <c r="A30" s="19">
        <v>3</v>
      </c>
      <c r="B30" s="19" t="str">
        <v>Imagenología dental</v>
      </c>
      <c r="C30" s="16">
        <v>45</v>
      </c>
      <c r="D30" s="26">
        <v>130</v>
      </c>
      <c r="E30" s="26">
        <v>0</v>
      </c>
      <c r="F30" s="16">
        <v>8</v>
      </c>
      <c r="G30" s="6">
        <f>=(C30*((1+Parametros!$C$10)^MAX(0,($A30-1))))</f>
        <v>47.7405</v>
      </c>
      <c r="H30" s="6">
        <f>=IF(($A30&gt;=Q30),(D30*((1+Parametros!$C$11)^MAX(0,($A30-Q30)))),0)</f>
        <v>143.32500000000002</v>
      </c>
      <c r="I30" s="6">
        <f>=Capacidad!$E$30</f>
        <v>143.32500000000002</v>
      </c>
      <c r="J30" s="6">
        <f>=(I30*12)</f>
        <v>1719.9</v>
      </c>
      <c r="K30" s="6">
        <f>=(F30*((1+Parametros!$C$8)^MAX(0,($A30-1))))</f>
        <v>8.652800000000001</v>
      </c>
      <c r="L30" s="6">
        <f>=(G30*J30)</f>
        <v>82108.88595</v>
      </c>
      <c r="M30" s="6">
        <f>=(K30*J30)</f>
        <v>14881.950720000003</v>
      </c>
      <c r="N30" s="6">
        <f>=(L30-M30)</f>
        <v>67226.93522999999</v>
      </c>
      <c r="O30" s="19">
        <v>20</v>
      </c>
      <c r="P30" s="23">
        <f>=Capacidad!$F$30</f>
        <v>0.18431712962962965</v>
      </c>
      <c r="Q30" s="19">
        <v>1</v>
      </c>
      <c r="R30" s="19">
        <v>0</v>
      </c>
      <c r="S30" s="19">
        <v>1</v>
      </c>
      <c r="T30" s="19">
        <v>0</v>
      </c>
      <c r="U30" s="19">
        <v>1</v>
      </c>
      <c r="V30" s="25" t="str">
        <f>=IF(I30&lt;H30-0.000001,"LIMITADA","")</f>
        <v/>
      </c>
    </row>
    <row r="31">
      <c r="A31" s="19">
        <v>4</v>
      </c>
      <c r="B31" s="19" t="str">
        <v>Consulta estomatológica</v>
      </c>
      <c r="C31" s="16">
        <v>25</v>
      </c>
      <c r="D31" s="26">
        <v>400</v>
      </c>
      <c r="E31" s="26">
        <v>0</v>
      </c>
      <c r="F31" s="16">
        <v>6</v>
      </c>
      <c r="G31" s="6">
        <f>=(C31*((1+Parametros!$C$10)^MAX(0,($A31-1))))</f>
        <v>27.318175</v>
      </c>
      <c r="H31" s="6">
        <f>=IF(($A31&gt;=Q31),(D31*((1+Parametros!$C$11)^MAX(0,($A31-Q31)))),0)</f>
        <v>463.05000000000007</v>
      </c>
      <c r="I31" s="6">
        <f>=Capacidad!$E$31</f>
        <v>463.05000000000007</v>
      </c>
      <c r="J31" s="6">
        <f>=(I31*12)</f>
        <v>5556.6</v>
      </c>
      <c r="K31" s="6">
        <f>=(F31*((1+Parametros!$C$8)^MAX(0,($A31-1))))</f>
        <v>6.7491840000000005</v>
      </c>
      <c r="L31" s="6">
        <f>=(G31*J31)</f>
        <v>151796.17120500002</v>
      </c>
      <c r="M31" s="6">
        <f>=(K31*J31)</f>
        <v>37502.51581440001</v>
      </c>
      <c r="N31" s="6">
        <f>=(L31-M31)</f>
        <v>114293.6553906</v>
      </c>
      <c r="O31" s="19">
        <v>30</v>
      </c>
      <c r="P31" s="23">
        <f>=Capacidad!$F$31</f>
        <v>0.2538651315789474</v>
      </c>
      <c r="Q31" s="19">
        <v>1</v>
      </c>
      <c r="R31" s="19">
        <v>1</v>
      </c>
      <c r="S31" s="19">
        <v>0</v>
      </c>
      <c r="T31" s="19">
        <v>0</v>
      </c>
      <c r="U31" s="19">
        <v>1</v>
      </c>
      <c r="V31" s="25" t="str">
        <f>=IF(I31&lt;H31-0.000001,"LIMITADA","")</f>
        <v/>
      </c>
    </row>
    <row r="32">
      <c r="A32" s="19">
        <v>4</v>
      </c>
      <c r="B32" s="19" t="str">
        <v>Odontología preventiva (profilaxis y sellado)</v>
      </c>
      <c r="C32" s="16">
        <v>35</v>
      </c>
      <c r="D32" s="26">
        <v>160</v>
      </c>
      <c r="E32" s="26">
        <v>0</v>
      </c>
      <c r="F32" s="16">
        <v>10</v>
      </c>
      <c r="G32" s="6">
        <f>=(C32*((1+Parametros!$C$10)^MAX(0,($A32-1))))</f>
        <v>38.245445000000004</v>
      </c>
      <c r="H32" s="6">
        <f>=IF(($A32&gt;=Q32),(D32*((1+Parametros!$C$11)^MAX(0,($A32-Q32)))),0)</f>
        <v>185.22000000000003</v>
      </c>
      <c r="I32" s="6">
        <f>=Capacidad!$E$32</f>
        <v>185.22000000000003</v>
      </c>
      <c r="J32" s="6">
        <f>=(I32*12)</f>
        <v>2222.6400000000003</v>
      </c>
      <c r="K32" s="6">
        <f>=(F32*((1+Parametros!$C$8)^MAX(0,($A32-1))))</f>
        <v>11.248640000000002</v>
      </c>
      <c r="L32" s="6">
        <f>=(G32*J32)</f>
        <v>85005.85587480002</v>
      </c>
      <c r="M32" s="6">
        <f>=(K32*J32)</f>
        <v>25001.677209600006</v>
      </c>
      <c r="N32" s="6">
        <f>=(L32-M32)</f>
        <v>60004.178665200016</v>
      </c>
      <c r="O32" s="19">
        <v>40</v>
      </c>
      <c r="P32" s="23">
        <f>=Capacidad!$F$32</f>
        <v>0.1353947368421053</v>
      </c>
      <c r="Q32" s="19">
        <v>1</v>
      </c>
      <c r="R32" s="19">
        <v>1</v>
      </c>
      <c r="S32" s="19">
        <v>0</v>
      </c>
      <c r="T32" s="19">
        <v>0</v>
      </c>
      <c r="U32" s="19">
        <v>1</v>
      </c>
      <c r="V32" s="25" t="str">
        <f>=IF(I32&lt;H32-0.000001,"LIMITADA","")</f>
        <v/>
      </c>
    </row>
    <row r="33">
      <c r="A33" s="19">
        <v>4</v>
      </c>
      <c r="B33" s="19" t="str">
        <v>Restauraciones (obturaciones)</v>
      </c>
      <c r="C33" s="16">
        <v>60</v>
      </c>
      <c r="D33" s="26">
        <v>220</v>
      </c>
      <c r="E33" s="26">
        <v>0</v>
      </c>
      <c r="F33" s="16">
        <v>18</v>
      </c>
      <c r="G33" s="6">
        <f>=(C33*((1+Parametros!$C$10)^MAX(0,($A33-1))))</f>
        <v>65.56362</v>
      </c>
      <c r="H33" s="6">
        <f>=IF(($A33&gt;=Q33),(D33*((1+Parametros!$C$11)^MAX(0,($A33-Q33)))),0)</f>
        <v>254.67750000000004</v>
      </c>
      <c r="I33" s="6">
        <f>=Capacidad!$E$33</f>
        <v>254.67750000000004</v>
      </c>
      <c r="J33" s="6">
        <f>=(I33*12)</f>
        <v>3056.1300000000006</v>
      </c>
      <c r="K33" s="6">
        <f>=(F33*((1+Parametros!$C$8)^MAX(0,($A33-1))))</f>
        <v>20.247552000000002</v>
      </c>
      <c r="L33" s="6">
        <f>=(G33*J33)</f>
        <v>200370.94599060004</v>
      </c>
      <c r="M33" s="6">
        <f>=(K33*J33)</f>
        <v>61879.15109376002</v>
      </c>
      <c r="N33" s="6">
        <f>=(L33-M33)</f>
        <v>138491.79489684003</v>
      </c>
      <c r="O33" s="19">
        <v>45</v>
      </c>
      <c r="P33" s="23">
        <f>=Capacidad!$F$33</f>
        <v>0.20943873355263162</v>
      </c>
      <c r="Q33" s="19">
        <v>1</v>
      </c>
      <c r="R33" s="19">
        <v>1</v>
      </c>
      <c r="S33" s="19">
        <v>0</v>
      </c>
      <c r="T33" s="19">
        <v>0</v>
      </c>
      <c r="U33" s="19">
        <v>1</v>
      </c>
      <c r="V33" s="25" t="str">
        <f>=IF(I33&lt;H33-0.000001,"LIMITADA","")</f>
        <v/>
      </c>
    </row>
    <row r="34">
      <c r="A34" s="19">
        <v>4</v>
      </c>
      <c r="B34" s="19" t="str">
        <v>Endodoncia</v>
      </c>
      <c r="C34" s="16">
        <v>150</v>
      </c>
      <c r="D34" s="26">
        <v>70</v>
      </c>
      <c r="E34" s="26">
        <v>0</v>
      </c>
      <c r="F34" s="16">
        <v>40</v>
      </c>
      <c r="G34" s="6">
        <f>=(C34*((1+Parametros!$C$10)^MAX(0,($A34-1))))</f>
        <v>163.90905</v>
      </c>
      <c r="H34" s="6">
        <f>=IF(($A34&gt;=Q34),(D34*((1+Parametros!$C$11)^MAX(0,($A34-Q34)))),0)</f>
        <v>81.03375000000001</v>
      </c>
      <c r="I34" s="6">
        <f>=Capacidad!$E$34</f>
        <v>81.03375000000001</v>
      </c>
      <c r="J34" s="6">
        <f>=(I34*12)</f>
        <v>972.4050000000002</v>
      </c>
      <c r="K34" s="6">
        <f>=(F34*((1+Parametros!$C$8)^MAX(0,($A34-1))))</f>
        <v>44.99456000000001</v>
      </c>
      <c r="L34" s="6">
        <f>=(G34*J34)</f>
        <v>159385.97976525003</v>
      </c>
      <c r="M34" s="6">
        <f>=(K34*J34)</f>
        <v>43752.935116800014</v>
      </c>
      <c r="N34" s="6">
        <f>=(L34-M34)</f>
        <v>115633.04464845001</v>
      </c>
      <c r="O34" s="19">
        <v>60</v>
      </c>
      <c r="P34" s="23">
        <f>=Capacidad!$F$34</f>
        <v>0.08885279605263159</v>
      </c>
      <c r="Q34" s="19">
        <v>1</v>
      </c>
      <c r="R34" s="19">
        <v>1</v>
      </c>
      <c r="S34" s="19">
        <v>0</v>
      </c>
      <c r="T34" s="19">
        <v>0</v>
      </c>
      <c r="U34" s="19">
        <v>1</v>
      </c>
      <c r="V34" s="25" t="str">
        <f>=IF(I34&lt;H34-0.000001,"LIMITADA","")</f>
        <v/>
      </c>
    </row>
    <row r="35">
      <c r="A35" s="19">
        <v>4</v>
      </c>
      <c r="B35" s="19" t="str">
        <v>Periodoncia</v>
      </c>
      <c r="C35" s="16">
        <v>120</v>
      </c>
      <c r="D35" s="26">
        <v>60</v>
      </c>
      <c r="E35" s="26">
        <v>0</v>
      </c>
      <c r="F35" s="16">
        <v>30</v>
      </c>
      <c r="G35" s="6">
        <f>=(C35*((1+Parametros!$C$10)^MAX(0,($A35-1))))</f>
        <v>131.12724</v>
      </c>
      <c r="H35" s="6">
        <f>=IF(($A35&gt;=Q35),(D35*((1+Parametros!$C$11)^MAX(0,($A35-Q35)))),0)</f>
        <v>69.45750000000001</v>
      </c>
      <c r="I35" s="6">
        <f>=Capacidad!$E$35</f>
        <v>69.45750000000001</v>
      </c>
      <c r="J35" s="6">
        <f>=(I35*12)</f>
        <v>833.4900000000001</v>
      </c>
      <c r="K35" s="6">
        <f>=(F35*((1+Parametros!$C$8)^MAX(0,($A35-1))))</f>
        <v>33.745920000000005</v>
      </c>
      <c r="L35" s="6">
        <f>=(G35*J35)</f>
        <v>109293.24326760002</v>
      </c>
      <c r="M35" s="6">
        <f>=(K35*J35)</f>
        <v>28126.88686080001</v>
      </c>
      <c r="N35" s="6">
        <f>=(L35-M35)</f>
        <v>81166.35640680001</v>
      </c>
      <c r="O35" s="19">
        <v>50</v>
      </c>
      <c r="P35" s="23">
        <f>=Capacidad!$F$35</f>
        <v>0.06346628289473685</v>
      </c>
      <c r="Q35" s="19">
        <v>1</v>
      </c>
      <c r="R35" s="19">
        <v>1</v>
      </c>
      <c r="S35" s="19">
        <v>0</v>
      </c>
      <c r="T35" s="19">
        <v>0</v>
      </c>
      <c r="U35" s="19">
        <v>1</v>
      </c>
      <c r="V35" s="25" t="str">
        <f>=IF(I35&lt;H35-0.000001,"LIMITADA","")</f>
        <v/>
      </c>
    </row>
    <row r="36">
      <c r="A36" s="19">
        <v>4</v>
      </c>
      <c r="B36" s="19" t="str">
        <v>Cirugía oral</v>
      </c>
      <c r="C36" s="16">
        <v>180</v>
      </c>
      <c r="D36" s="26">
        <v>35</v>
      </c>
      <c r="E36" s="26">
        <v>0</v>
      </c>
      <c r="F36" s="16">
        <v>45</v>
      </c>
      <c r="G36" s="6">
        <f>=(C36*((1+Parametros!$C$10)^MAX(0,($A36-1))))</f>
        <v>196.69086</v>
      </c>
      <c r="H36" s="6">
        <f>=IF(($A36&gt;=Q36),(D36*((1+Parametros!$C$11)^MAX(0,($A36-Q36)))),0)</f>
        <v>40.516875000000006</v>
      </c>
      <c r="I36" s="6">
        <f>=Capacidad!$E$36</f>
        <v>40.516875000000006</v>
      </c>
      <c r="J36" s="6">
        <f>=(I36*12)</f>
        <v>486.2025000000001</v>
      </c>
      <c r="K36" s="6">
        <f>=(F36*((1+Parametros!$C$8)^MAX(0,($A36-1))))</f>
        <v>50.618880000000004</v>
      </c>
      <c r="L36" s="6">
        <f>=(G36*J36)</f>
        <v>95631.58785915001</v>
      </c>
      <c r="M36" s="6">
        <f>=(K36*J36)</f>
        <v>24611.026003200008</v>
      </c>
      <c r="N36" s="6">
        <f>=(L36-M36)</f>
        <v>71020.56185595</v>
      </c>
      <c r="O36" s="19">
        <v>60</v>
      </c>
      <c r="P36" s="23">
        <f>=Capacidad!$F$36</f>
        <v>0.044426398026315796</v>
      </c>
      <c r="Q36" s="19">
        <v>1</v>
      </c>
      <c r="R36" s="19">
        <v>1</v>
      </c>
      <c r="S36" s="19">
        <v>0</v>
      </c>
      <c r="T36" s="19">
        <v>0</v>
      </c>
      <c r="U36" s="19">
        <v>1</v>
      </c>
      <c r="V36" s="25" t="str">
        <f>=IF(I36&lt;H36-0.000001,"LIMITADA","")</f>
        <v/>
      </c>
    </row>
    <row r="37">
      <c r="A37" s="19">
        <v>4</v>
      </c>
      <c r="B37" s="19" t="str">
        <v>Prótesis estomatológica</v>
      </c>
      <c r="C37" s="16">
        <v>400</v>
      </c>
      <c r="D37" s="26">
        <v>28</v>
      </c>
      <c r="E37" s="26">
        <v>0</v>
      </c>
      <c r="F37" s="16">
        <v>120</v>
      </c>
      <c r="G37" s="6">
        <f>=(C37*((1+Parametros!$C$10)^MAX(0,($A37-1))))</f>
        <v>437.0908</v>
      </c>
      <c r="H37" s="6">
        <f>=IF(($A37&gt;=Q37),(D37*((1+Parametros!$C$11)^MAX(0,($A37-Q37)))),0)</f>
        <v>32.413500000000006</v>
      </c>
      <c r="I37" s="6">
        <f>=Capacidad!$E$37</f>
        <v>32.413500000000006</v>
      </c>
      <c r="J37" s="6">
        <f>=(I37*12)</f>
        <v>388.9620000000001</v>
      </c>
      <c r="K37" s="6">
        <f>=(F37*((1+Parametros!$C$8)^MAX(0,($A37-1))))</f>
        <v>134.98368000000002</v>
      </c>
      <c r="L37" s="6">
        <f>=(G37*J37)</f>
        <v>170011.71174960004</v>
      </c>
      <c r="M37" s="6">
        <f>=(K37*J37)</f>
        <v>52503.52214016002</v>
      </c>
      <c r="N37" s="6">
        <f>=(L37-M37)</f>
        <v>117508.18960944001</v>
      </c>
      <c r="O37" s="19">
        <v>90</v>
      </c>
      <c r="P37" s="23">
        <f>=Capacidad!$F$37</f>
        <v>0.35541118421052637</v>
      </c>
      <c r="Q37" s="19">
        <v>1</v>
      </c>
      <c r="R37" s="19">
        <v>0</v>
      </c>
      <c r="S37" s="19">
        <v>0</v>
      </c>
      <c r="T37" s="19">
        <v>1</v>
      </c>
      <c r="U37" s="19">
        <v>1</v>
      </c>
      <c r="V37" s="25" t="str">
        <f>=IF(I37&lt;H37-0.000001,"LIMITADA","")</f>
        <v/>
      </c>
    </row>
    <row r="38">
      <c r="A38" s="19">
        <v>4</v>
      </c>
      <c r="B38" s="19" t="str">
        <v>Ortodoncia</v>
      </c>
      <c r="C38" s="16">
        <v>1200</v>
      </c>
      <c r="D38" s="26">
        <v>9</v>
      </c>
      <c r="E38" s="26">
        <v>0</v>
      </c>
      <c r="F38" s="16">
        <v>300</v>
      </c>
      <c r="G38" s="6">
        <f>=(C38*((1+Parametros!$C$10)^MAX(0,($A38-1))))</f>
        <v>1311.2724</v>
      </c>
      <c r="H38" s="6">
        <f>=IF(($A38&gt;=Q38),(D38*((1+Parametros!$C$11)^MAX(0,($A38-Q38)))),0)</f>
        <v>10.418625</v>
      </c>
      <c r="I38" s="6">
        <f>=Capacidad!$E$38</f>
        <v>10.418625</v>
      </c>
      <c r="J38" s="6">
        <f>=(I38*12)</f>
        <v>125.02350000000001</v>
      </c>
      <c r="K38" s="6">
        <f>=(F38*((1+Parametros!$C$8)^MAX(0,($A38-1))))</f>
        <v>337.4592</v>
      </c>
      <c r="L38" s="6">
        <f>=(G38*J38)</f>
        <v>163939.86490140003</v>
      </c>
      <c r="M38" s="6">
        <f>=(K38*J38)</f>
        <v>42190.33029120001</v>
      </c>
      <c r="N38" s="6">
        <f>=(L38-M38)</f>
        <v>121749.53461020002</v>
      </c>
      <c r="O38" s="19">
        <v>90</v>
      </c>
      <c r="P38" s="23">
        <f>=Capacidad!$F$38</f>
        <v>0.017135896381578947</v>
      </c>
      <c r="Q38" s="19">
        <v>1</v>
      </c>
      <c r="R38" s="19">
        <v>1</v>
      </c>
      <c r="S38" s="19">
        <v>0</v>
      </c>
      <c r="T38" s="19">
        <v>0</v>
      </c>
      <c r="U38" s="19">
        <v>1</v>
      </c>
      <c r="V38" s="25" t="str">
        <f>=IF(I38&lt;H38-0.000001,"LIMITADA","")</f>
        <v/>
      </c>
    </row>
    <row r="39">
      <c r="A39" s="19">
        <v>4</v>
      </c>
      <c r="B39" s="19" t="str">
        <v>Imagenología dental</v>
      </c>
      <c r="C39" s="16">
        <v>45</v>
      </c>
      <c r="D39" s="26">
        <v>130</v>
      </c>
      <c r="E39" s="26">
        <v>0</v>
      </c>
      <c r="F39" s="16">
        <v>8</v>
      </c>
      <c r="G39" s="6">
        <f>=(C39*((1+Parametros!$C$10)^MAX(0,($A39-1))))</f>
        <v>49.172715</v>
      </c>
      <c r="H39" s="6">
        <f>=IF(($A39&gt;=Q39),(D39*((1+Parametros!$C$11)^MAX(0,($A39-Q39)))),0)</f>
        <v>150.49125</v>
      </c>
      <c r="I39" s="6">
        <f>=Capacidad!$E$39</f>
        <v>150.49125</v>
      </c>
      <c r="J39" s="6">
        <f>=(I39*12)</f>
        <v>1805.895</v>
      </c>
      <c r="K39" s="6">
        <f>=(F39*((1+Parametros!$C$8)^MAX(0,($A39-1))))</f>
        <v>8.998912</v>
      </c>
      <c r="L39" s="6">
        <f>=(G39*J39)</f>
        <v>88800.760154925</v>
      </c>
      <c r="M39" s="6">
        <f>=(K39*J39)</f>
        <v>16251.09018624</v>
      </c>
      <c r="N39" s="6">
        <f>=(L39-M39)</f>
        <v>72549.66996868499</v>
      </c>
      <c r="O39" s="19">
        <v>20</v>
      </c>
      <c r="P39" s="23">
        <f>=Capacidad!$F$39</f>
        <v>0.1935329861111111</v>
      </c>
      <c r="Q39" s="19">
        <v>1</v>
      </c>
      <c r="R39" s="19">
        <v>0</v>
      </c>
      <c r="S39" s="19">
        <v>1</v>
      </c>
      <c r="T39" s="19">
        <v>0</v>
      </c>
      <c r="U39" s="19">
        <v>1</v>
      </c>
      <c r="V39" s="25" t="str">
        <f>=IF(I39&lt;H39-0.000001,"LIMITADA","")</f>
        <v/>
      </c>
    </row>
    <row r="40">
      <c r="A40" s="19">
        <v>5</v>
      </c>
      <c r="B40" s="19" t="str">
        <v>Consulta estomatológica</v>
      </c>
      <c r="C40" s="16">
        <v>25</v>
      </c>
      <c r="D40" s="26">
        <v>400</v>
      </c>
      <c r="E40" s="26">
        <v>0</v>
      </c>
      <c r="F40" s="16">
        <v>6</v>
      </c>
      <c r="G40" s="6">
        <f>=(C40*((1+Parametros!$C$10)^MAX(0,($A40-1))))</f>
        <v>28.137720249999997</v>
      </c>
      <c r="H40" s="6">
        <f>=IF(($A40&gt;=Q40),(D40*((1+Parametros!$C$11)^MAX(0,($A40-Q40)))),0)</f>
        <v>486.2025</v>
      </c>
      <c r="I40" s="6">
        <f>=Capacidad!$E$40</f>
        <v>486.2025</v>
      </c>
      <c r="J40" s="6">
        <f>=(I40*12)</f>
        <v>5834.43</v>
      </c>
      <c r="K40" s="6">
        <f>=(F40*((1+Parametros!$C$8)^MAX(0,($A40-1))))</f>
        <v>7.019151360000001</v>
      </c>
      <c r="L40" s="6">
        <f>=(G40*J40)</f>
        <v>164167.5591582075</v>
      </c>
      <c r="M40" s="6">
        <f>=(K40*J40)</f>
        <v>40952.74726932481</v>
      </c>
      <c r="N40" s="6">
        <f>=(L40-M40)</f>
        <v>123214.81188888269</v>
      </c>
      <c r="O40" s="19">
        <v>30</v>
      </c>
      <c r="P40" s="23">
        <f>=Capacidad!$F$40</f>
        <v>0.26655838815789473</v>
      </c>
      <c r="Q40" s="19">
        <v>1</v>
      </c>
      <c r="R40" s="19">
        <v>1</v>
      </c>
      <c r="S40" s="19">
        <v>0</v>
      </c>
      <c r="T40" s="19">
        <v>0</v>
      </c>
      <c r="U40" s="19">
        <v>1</v>
      </c>
      <c r="V40" s="25" t="str">
        <f>=IF(I40&lt;H40-0.000001,"LIMITADA","")</f>
        <v/>
      </c>
    </row>
    <row r="41">
      <c r="A41" s="19">
        <v>5</v>
      </c>
      <c r="B41" s="19" t="str">
        <v>Odontología preventiva (profilaxis y sellado)</v>
      </c>
      <c r="C41" s="16">
        <v>35</v>
      </c>
      <c r="D41" s="26">
        <v>160</v>
      </c>
      <c r="E41" s="26">
        <v>0</v>
      </c>
      <c r="F41" s="16">
        <v>10</v>
      </c>
      <c r="G41" s="6">
        <f>=(C41*((1+Parametros!$C$10)^MAX(0,($A41-1))))</f>
        <v>39.392808349999996</v>
      </c>
      <c r="H41" s="6">
        <f>=IF(($A41&gt;=Q41),(D41*((1+Parametros!$C$11)^MAX(0,($A41-Q41)))),0)</f>
        <v>194.481</v>
      </c>
      <c r="I41" s="6">
        <f>=Capacidad!$E$41</f>
        <v>194.481</v>
      </c>
      <c r="J41" s="6">
        <f>=(I41*12)</f>
        <v>2333.772</v>
      </c>
      <c r="K41" s="6">
        <f>=(F41*((1+Parametros!$C$8)^MAX(0,($A41-1))))</f>
        <v>11.698585600000001</v>
      </c>
      <c r="L41" s="6">
        <f>=(G41*J41)</f>
        <v>91933.83312859619</v>
      </c>
      <c r="M41" s="6">
        <f>=(K41*J41)</f>
        <v>27301.831512883204</v>
      </c>
      <c r="N41" s="6">
        <f>=(L41-M41)</f>
        <v>64632.00161571299</v>
      </c>
      <c r="O41" s="19">
        <v>40</v>
      </c>
      <c r="P41" s="23">
        <f>=Capacidad!$F$41</f>
        <v>0.14216447368421053</v>
      </c>
      <c r="Q41" s="19">
        <v>1</v>
      </c>
      <c r="R41" s="19">
        <v>1</v>
      </c>
      <c r="S41" s="19">
        <v>0</v>
      </c>
      <c r="T41" s="19">
        <v>0</v>
      </c>
      <c r="U41" s="19">
        <v>1</v>
      </c>
      <c r="V41" s="25" t="str">
        <f>=IF(I41&lt;H41-0.000001,"LIMITADA","")</f>
        <v/>
      </c>
    </row>
    <row r="42">
      <c r="A42" s="19">
        <v>5</v>
      </c>
      <c r="B42" s="19" t="str">
        <v>Restauraciones (obturaciones)</v>
      </c>
      <c r="C42" s="16">
        <v>60</v>
      </c>
      <c r="D42" s="26">
        <v>220</v>
      </c>
      <c r="E42" s="26">
        <v>0</v>
      </c>
      <c r="F42" s="16">
        <v>18</v>
      </c>
      <c r="G42" s="6">
        <f>=(C42*((1+Parametros!$C$10)^MAX(0,($A42-1))))</f>
        <v>67.5305286</v>
      </c>
      <c r="H42" s="6">
        <f>=IF(($A42&gt;=Q42),(D42*((1+Parametros!$C$11)^MAX(0,($A42-Q42)))),0)</f>
        <v>267.411375</v>
      </c>
      <c r="I42" s="6">
        <f>=Capacidad!$E$42</f>
        <v>267.411375</v>
      </c>
      <c r="J42" s="6">
        <f>=(I42*12)</f>
        <v>3208.9365000000003</v>
      </c>
      <c r="K42" s="6">
        <f>=(F42*((1+Parametros!$C$8)^MAX(0,($A42-1))))</f>
        <v>21.057454080000003</v>
      </c>
      <c r="L42" s="6">
        <f>=(G42*J42)</f>
        <v>216701.1780888339</v>
      </c>
      <c r="M42" s="6">
        <f>=(K42*J42)</f>
        <v>67572.03299438594</v>
      </c>
      <c r="N42" s="6">
        <f>=(L42-M42)</f>
        <v>149129.14509444794</v>
      </c>
      <c r="O42" s="19">
        <v>45</v>
      </c>
      <c r="P42" s="23">
        <f>=Capacidad!$F$42</f>
        <v>0.21991067023026317</v>
      </c>
      <c r="Q42" s="19">
        <v>1</v>
      </c>
      <c r="R42" s="19">
        <v>1</v>
      </c>
      <c r="S42" s="19">
        <v>0</v>
      </c>
      <c r="T42" s="19">
        <v>0</v>
      </c>
      <c r="U42" s="19">
        <v>1</v>
      </c>
      <c r="V42" s="25" t="str">
        <f>=IF(I42&lt;H42-0.000001,"LIMITADA","")</f>
        <v/>
      </c>
    </row>
    <row r="43">
      <c r="A43" s="19">
        <v>5</v>
      </c>
      <c r="B43" s="19" t="str">
        <v>Endodoncia</v>
      </c>
      <c r="C43" s="16">
        <v>150</v>
      </c>
      <c r="D43" s="26">
        <v>70</v>
      </c>
      <c r="E43" s="26">
        <v>0</v>
      </c>
      <c r="F43" s="16">
        <v>40</v>
      </c>
      <c r="G43" s="6">
        <f>=(C43*((1+Parametros!$C$10)^MAX(0,($A43-1))))</f>
        <v>168.82632149999998</v>
      </c>
      <c r="H43" s="6">
        <f>=IF(($A43&gt;=Q43),(D43*((1+Parametros!$C$11)^MAX(0,($A43-Q43)))),0)</f>
        <v>85.0854375</v>
      </c>
      <c r="I43" s="6">
        <f>=Capacidad!$E$43</f>
        <v>85.0854375</v>
      </c>
      <c r="J43" s="6">
        <f>=(I43*12)</f>
        <v>1021.0252499999999</v>
      </c>
      <c r="K43" s="6">
        <f>=(F43*((1+Parametros!$C$8)^MAX(0,($A43-1))))</f>
        <v>46.794342400000005</v>
      </c>
      <c r="L43" s="6">
        <f>=(G43*J43)</f>
        <v>172375.93711611783</v>
      </c>
      <c r="M43" s="6">
        <f>=(K43*J43)</f>
        <v>47778.2051475456</v>
      </c>
      <c r="N43" s="6">
        <f>=(L43-M43)</f>
        <v>124597.73196857222</v>
      </c>
      <c r="O43" s="19">
        <v>60</v>
      </c>
      <c r="P43" s="23">
        <f>=Capacidad!$F$43</f>
        <v>0.09329543585526316</v>
      </c>
      <c r="Q43" s="19">
        <v>1</v>
      </c>
      <c r="R43" s="19">
        <v>1</v>
      </c>
      <c r="S43" s="19">
        <v>0</v>
      </c>
      <c r="T43" s="19">
        <v>0</v>
      </c>
      <c r="U43" s="19">
        <v>1</v>
      </c>
      <c r="V43" s="25" t="str">
        <f>=IF(I43&lt;H43-0.000001,"LIMITADA","")</f>
        <v/>
      </c>
    </row>
    <row r="44">
      <c r="A44" s="19">
        <v>5</v>
      </c>
      <c r="B44" s="19" t="str">
        <v>Periodoncia</v>
      </c>
      <c r="C44" s="16">
        <v>120</v>
      </c>
      <c r="D44" s="26">
        <v>60</v>
      </c>
      <c r="E44" s="26">
        <v>0</v>
      </c>
      <c r="F44" s="16">
        <v>30</v>
      </c>
      <c r="G44" s="6">
        <f>=(C44*((1+Parametros!$C$10)^MAX(0,($A44-1))))</f>
        <v>135.0610572</v>
      </c>
      <c r="H44" s="6">
        <f>=IF(($A44&gt;=Q44),(D44*((1+Parametros!$C$11)^MAX(0,($A44-Q44)))),0)</f>
        <v>72.930375</v>
      </c>
      <c r="I44" s="6">
        <f>=Capacidad!$E$44</f>
        <v>72.930375</v>
      </c>
      <c r="J44" s="6">
        <f>=(I44*12)</f>
        <v>875.1645</v>
      </c>
      <c r="K44" s="6">
        <f>=(F44*((1+Parametros!$C$8)^MAX(0,($A44-1))))</f>
        <v>35.095756800000004</v>
      </c>
      <c r="L44" s="6">
        <f>=(G44*J44)</f>
        <v>118200.64259390939</v>
      </c>
      <c r="M44" s="6">
        <f>=(K44*J44)</f>
        <v>30714.560451993602</v>
      </c>
      <c r="N44" s="6">
        <f>=(L44-M44)</f>
        <v>87486.08214191579</v>
      </c>
      <c r="O44" s="19">
        <v>50</v>
      </c>
      <c r="P44" s="23">
        <f>=Capacidad!$F$44</f>
        <v>0.06663959703947368</v>
      </c>
      <c r="Q44" s="19">
        <v>1</v>
      </c>
      <c r="R44" s="19">
        <v>1</v>
      </c>
      <c r="S44" s="19">
        <v>0</v>
      </c>
      <c r="T44" s="19">
        <v>0</v>
      </c>
      <c r="U44" s="19">
        <v>1</v>
      </c>
      <c r="V44" s="25" t="str">
        <f>=IF(I44&lt;H44-0.000001,"LIMITADA","")</f>
        <v/>
      </c>
    </row>
    <row r="45">
      <c r="A45" s="19">
        <v>5</v>
      </c>
      <c r="B45" s="19" t="str">
        <v>Cirugía oral</v>
      </c>
      <c r="C45" s="16">
        <v>180</v>
      </c>
      <c r="D45" s="26">
        <v>35</v>
      </c>
      <c r="E45" s="26">
        <v>0</v>
      </c>
      <c r="F45" s="16">
        <v>45</v>
      </c>
      <c r="G45" s="6">
        <f>=(C45*((1+Parametros!$C$10)^MAX(0,($A45-1))))</f>
        <v>202.5915858</v>
      </c>
      <c r="H45" s="6">
        <f>=IF(($A45&gt;=Q45),(D45*((1+Parametros!$C$11)^MAX(0,($A45-Q45)))),0)</f>
        <v>42.54271875</v>
      </c>
      <c r="I45" s="6">
        <f>=Capacidad!$E$45</f>
        <v>42.54271875</v>
      </c>
      <c r="J45" s="6">
        <f>=(I45*12)</f>
        <v>510.51262499999996</v>
      </c>
      <c r="K45" s="6">
        <f>=(F45*((1+Parametros!$C$8)^MAX(0,($A45-1))))</f>
        <v>52.64363520000001</v>
      </c>
      <c r="L45" s="6">
        <f>=(G45*J45)</f>
        <v>103425.56226967071</v>
      </c>
      <c r="M45" s="6">
        <f>=(K45*J45)</f>
        <v>26875.240395494406</v>
      </c>
      <c r="N45" s="6">
        <f>=(L45-M45)</f>
        <v>76550.32187417631</v>
      </c>
      <c r="O45" s="19">
        <v>60</v>
      </c>
      <c r="P45" s="23">
        <f>=Capacidad!$F$45</f>
        <v>0.04664771792763158</v>
      </c>
      <c r="Q45" s="19">
        <v>1</v>
      </c>
      <c r="R45" s="19">
        <v>1</v>
      </c>
      <c r="S45" s="19">
        <v>0</v>
      </c>
      <c r="T45" s="19">
        <v>0</v>
      </c>
      <c r="U45" s="19">
        <v>1</v>
      </c>
      <c r="V45" s="25" t="str">
        <f>=IF(I45&lt;H45-0.000001,"LIMITADA","")</f>
        <v/>
      </c>
    </row>
    <row r="46">
      <c r="A46" s="19">
        <v>5</v>
      </c>
      <c r="B46" s="19" t="str">
        <v>Prótesis estomatológica</v>
      </c>
      <c r="C46" s="16">
        <v>400</v>
      </c>
      <c r="D46" s="26">
        <v>28</v>
      </c>
      <c r="E46" s="26">
        <v>0</v>
      </c>
      <c r="F46" s="16">
        <v>120</v>
      </c>
      <c r="G46" s="6">
        <f>=(C46*((1+Parametros!$C$10)^MAX(0,($A46-1))))</f>
        <v>450.20352399999996</v>
      </c>
      <c r="H46" s="6">
        <f>=IF(($A46&gt;=Q46),(D46*((1+Parametros!$C$11)^MAX(0,($A46-Q46)))),0)</f>
        <v>34.034175</v>
      </c>
      <c r="I46" s="6">
        <f>=Capacidad!$E$46</f>
        <v>34.034175</v>
      </c>
      <c r="J46" s="6">
        <f>=(I46*12)</f>
        <v>408.41009999999994</v>
      </c>
      <c r="K46" s="6">
        <f>=(F46*((1+Parametros!$C$8)^MAX(0,($A46-1))))</f>
        <v>140.38302720000002</v>
      </c>
      <c r="L46" s="6">
        <f>=(G46*J46)</f>
        <v>183867.66625719235</v>
      </c>
      <c r="M46" s="6">
        <f>=(K46*J46)</f>
        <v>57333.846177054715</v>
      </c>
      <c r="N46" s="6">
        <f>=(L46-M46)</f>
        <v>126533.82008013764</v>
      </c>
      <c r="O46" s="19">
        <v>90</v>
      </c>
      <c r="P46" s="23">
        <f>=Capacidad!$F$46</f>
        <v>0.3731817434210526</v>
      </c>
      <c r="Q46" s="19">
        <v>1</v>
      </c>
      <c r="R46" s="19">
        <v>0</v>
      </c>
      <c r="S46" s="19">
        <v>0</v>
      </c>
      <c r="T46" s="19">
        <v>1</v>
      </c>
      <c r="U46" s="19">
        <v>1</v>
      </c>
      <c r="V46" s="25" t="str">
        <f>=IF(I46&lt;H46-0.000001,"LIMITADA","")</f>
        <v/>
      </c>
    </row>
    <row r="47">
      <c r="A47" s="19">
        <v>5</v>
      </c>
      <c r="B47" s="19" t="str">
        <v>Ortodoncia</v>
      </c>
      <c r="C47" s="16">
        <v>1200</v>
      </c>
      <c r="D47" s="26">
        <v>9</v>
      </c>
      <c r="E47" s="26">
        <v>0</v>
      </c>
      <c r="F47" s="16">
        <v>300</v>
      </c>
      <c r="G47" s="6">
        <f>=(C47*((1+Parametros!$C$10)^MAX(0,($A47-1))))</f>
        <v>1350.6105719999998</v>
      </c>
      <c r="H47" s="6">
        <f>=IF(($A47&gt;=Q47),(D47*((1+Parametros!$C$11)^MAX(0,($A47-Q47)))),0)</f>
        <v>10.93955625</v>
      </c>
      <c r="I47" s="6">
        <f>=Capacidad!$E$47</f>
        <v>10.93955625</v>
      </c>
      <c r="J47" s="6">
        <f>=(I47*12)</f>
        <v>131.274675</v>
      </c>
      <c r="K47" s="6">
        <f>=(F47*((1+Parametros!$C$8)^MAX(0,($A47-1))))</f>
        <v>350.95756800000004</v>
      </c>
      <c r="L47" s="6">
        <f>=(G47*J47)</f>
        <v>177300.96389086408</v>
      </c>
      <c r="M47" s="6">
        <f>=(K47*J47)</f>
        <v>46071.8406779904</v>
      </c>
      <c r="N47" s="6">
        <f>=(L47-M47)</f>
        <v>131229.12321287367</v>
      </c>
      <c r="O47" s="19">
        <v>90</v>
      </c>
      <c r="P47" s="23">
        <f>=Capacidad!$F$47</f>
        <v>0.017992691200657895</v>
      </c>
      <c r="Q47" s="19">
        <v>1</v>
      </c>
      <c r="R47" s="19">
        <v>1</v>
      </c>
      <c r="S47" s="19">
        <v>0</v>
      </c>
      <c r="T47" s="19">
        <v>0</v>
      </c>
      <c r="U47" s="19">
        <v>1</v>
      </c>
      <c r="V47" s="25" t="str">
        <f>=IF(I47&lt;H47-0.000001,"LIMITADA","")</f>
        <v/>
      </c>
    </row>
    <row r="48">
      <c r="A48" s="19">
        <v>5</v>
      </c>
      <c r="B48" s="19" t="str">
        <v>Imagenología dental</v>
      </c>
      <c r="C48" s="16">
        <v>45</v>
      </c>
      <c r="D48" s="26">
        <v>130</v>
      </c>
      <c r="E48" s="26">
        <v>0</v>
      </c>
      <c r="F48" s="16">
        <v>8</v>
      </c>
      <c r="G48" s="6">
        <f>=(C48*((1+Parametros!$C$10)^MAX(0,($A48-1))))</f>
        <v>50.64789645</v>
      </c>
      <c r="H48" s="6">
        <f>=IF(($A48&gt;=Q48),(D48*((1+Parametros!$C$11)^MAX(0,($A48-Q48)))),0)</f>
        <v>158.0158125</v>
      </c>
      <c r="I48" s="6">
        <f>=Capacidad!$E$48</f>
        <v>158.0158125</v>
      </c>
      <c r="J48" s="6">
        <f>=(I48*12)</f>
        <v>1896.18975</v>
      </c>
      <c r="K48" s="6">
        <f>=(F48*((1+Parametros!$C$8)^MAX(0,($A48-1))))</f>
        <v>9.358868480000002</v>
      </c>
      <c r="L48" s="6">
        <f>=(G48*J48)</f>
        <v>96038.02210755138</v>
      </c>
      <c r="M48" s="6">
        <f>=(K48*J48)</f>
        <v>17746.190483374085</v>
      </c>
      <c r="N48" s="6">
        <f>=(L48-M48)</f>
        <v>78291.8316241773</v>
      </c>
      <c r="O48" s="19">
        <v>20</v>
      </c>
      <c r="P48" s="23">
        <f>=Capacidad!$F$48</f>
        <v>0.20320963541666667</v>
      </c>
      <c r="Q48" s="19">
        <v>1</v>
      </c>
      <c r="R48" s="19">
        <v>0</v>
      </c>
      <c r="S48" s="19">
        <v>1</v>
      </c>
      <c r="T48" s="19">
        <v>0</v>
      </c>
      <c r="U48" s="19">
        <v>1</v>
      </c>
      <c r="V48" s="25" t="str">
        <f>=IF(I48&lt;H48-0.000001,"LIMITADA","")</f>
        <v/>
      </c>
    </row>
    <row r="49">
      <c r="A49" s="19">
        <v>6</v>
      </c>
      <c r="B49" s="19" t="str">
        <v>Consulta estomatológica</v>
      </c>
      <c r="C49" s="16">
        <v>25</v>
      </c>
      <c r="D49" s="26">
        <v>400</v>
      </c>
      <c r="E49" s="26">
        <v>0</v>
      </c>
      <c r="F49" s="16">
        <v>6</v>
      </c>
      <c r="G49" s="6">
        <f>=(C49*((1+Parametros!$C$10)^MAX(0,($A49-1))))</f>
        <v>28.981851857499997</v>
      </c>
      <c r="H49" s="6">
        <f>=IF(($A49&gt;=Q49),(D49*((1+Parametros!$C$11)^MAX(0,($A49-Q49)))),0)</f>
        <v>510.51262500000007</v>
      </c>
      <c r="I49" s="6">
        <f>=Capacidad!$E$49</f>
        <v>510.51262500000007</v>
      </c>
      <c r="J49" s="6">
        <f>=(I49*12)</f>
        <v>6126.151500000001</v>
      </c>
      <c r="K49" s="6">
        <f>=(F49*((1+Parametros!$C$8)^MAX(0,($A49-1))))</f>
        <v>7.299917414400002</v>
      </c>
      <c r="L49" s="6">
        <f>=(G49*J49)</f>
        <v>177547.21522960142</v>
      </c>
      <c r="M49" s="6">
        <f>=(K49*J49)</f>
        <v>44720.4000181027</v>
      </c>
      <c r="N49" s="6">
        <f>=(L49-M49)</f>
        <v>132826.81521149873</v>
      </c>
      <c r="O49" s="19">
        <v>30</v>
      </c>
      <c r="P49" s="23">
        <f>=Capacidad!$F$49</f>
        <v>0.2798863075657895</v>
      </c>
      <c r="Q49" s="19">
        <v>1</v>
      </c>
      <c r="R49" s="19">
        <v>1</v>
      </c>
      <c r="S49" s="19">
        <v>0</v>
      </c>
      <c r="T49" s="19">
        <v>0</v>
      </c>
      <c r="U49" s="19">
        <v>1</v>
      </c>
      <c r="V49" s="25" t="str">
        <f>=IF(I49&lt;H49-0.000001,"LIMITADA","")</f>
        <v/>
      </c>
    </row>
    <row r="50">
      <c r="A50" s="19">
        <v>6</v>
      </c>
      <c r="B50" s="19" t="str">
        <v>Odontología preventiva (profilaxis y sellado)</v>
      </c>
      <c r="C50" s="16">
        <v>35</v>
      </c>
      <c r="D50" s="26">
        <v>160</v>
      </c>
      <c r="E50" s="26">
        <v>0</v>
      </c>
      <c r="F50" s="16">
        <v>10</v>
      </c>
      <c r="G50" s="6">
        <f>=(C50*((1+Parametros!$C$10)^MAX(0,($A50-1))))</f>
        <v>40.5745926005</v>
      </c>
      <c r="H50" s="6">
        <f>=IF(($A50&gt;=Q50),(D50*((1+Parametros!$C$11)^MAX(0,($A50-Q50)))),0)</f>
        <v>204.20505000000003</v>
      </c>
      <c r="I50" s="6">
        <f>=Capacidad!$E$50</f>
        <v>204.20505000000003</v>
      </c>
      <c r="J50" s="6">
        <f>=(I50*12)</f>
        <v>2450.4606000000003</v>
      </c>
      <c r="K50" s="6">
        <f>=(F50*((1+Parametros!$C$8)^MAX(0,($A50-1))))</f>
        <v>12.166529024000003</v>
      </c>
      <c r="L50" s="6">
        <f>=(G50*J50)</f>
        <v>99426.4405285768</v>
      </c>
      <c r="M50" s="6">
        <f>=(K50*J50)</f>
        <v>29813.600012068466</v>
      </c>
      <c r="N50" s="6">
        <f>=(L50-M50)</f>
        <v>69612.84051650834</v>
      </c>
      <c r="O50" s="19">
        <v>40</v>
      </c>
      <c r="P50" s="23">
        <f>=Capacidad!$F$50</f>
        <v>0.14927269736842108</v>
      </c>
      <c r="Q50" s="19">
        <v>1</v>
      </c>
      <c r="R50" s="19">
        <v>1</v>
      </c>
      <c r="S50" s="19">
        <v>0</v>
      </c>
      <c r="T50" s="19">
        <v>0</v>
      </c>
      <c r="U50" s="19">
        <v>1</v>
      </c>
      <c r="V50" s="25" t="str">
        <f>=IF(I50&lt;H50-0.000001,"LIMITADA","")</f>
        <v/>
      </c>
    </row>
    <row r="51">
      <c r="A51" s="19">
        <v>6</v>
      </c>
      <c r="B51" s="19" t="str">
        <v>Restauraciones (obturaciones)</v>
      </c>
      <c r="C51" s="16">
        <v>60</v>
      </c>
      <c r="D51" s="26">
        <v>220</v>
      </c>
      <c r="E51" s="26">
        <v>0</v>
      </c>
      <c r="F51" s="16">
        <v>18</v>
      </c>
      <c r="G51" s="6">
        <f>=(C51*((1+Parametros!$C$10)^MAX(0,($A51-1))))</f>
        <v>69.55644445799999</v>
      </c>
      <c r="H51" s="6">
        <f>=IF(($A51&gt;=Q51),(D51*((1+Parametros!$C$11)^MAX(0,($A51-Q51)))),0)</f>
        <v>280.78194375000004</v>
      </c>
      <c r="I51" s="6">
        <f>=Capacidad!$E$51</f>
        <v>280.78194375000004</v>
      </c>
      <c r="J51" s="6">
        <f>=(I51*12)</f>
        <v>3369.3833250000007</v>
      </c>
      <c r="K51" s="6">
        <f>=(F51*((1+Parametros!$C$8)^MAX(0,($A51-1))))</f>
        <v>21.899752243200005</v>
      </c>
      <c r="L51" s="6">
        <f>=(G51*J51)</f>
        <v>234362.32410307386</v>
      </c>
      <c r="M51" s="6">
        <f>=(K51*J51)</f>
        <v>73788.66002986945</v>
      </c>
      <c r="N51" s="6">
        <f>=(L51-M51)</f>
        <v>160573.6640732044</v>
      </c>
      <c r="O51" s="19">
        <v>45</v>
      </c>
      <c r="P51" s="23">
        <f>=Capacidad!$F$51</f>
        <v>0.23090620374177634</v>
      </c>
      <c r="Q51" s="19">
        <v>1</v>
      </c>
      <c r="R51" s="19">
        <v>1</v>
      </c>
      <c r="S51" s="19">
        <v>0</v>
      </c>
      <c r="T51" s="19">
        <v>0</v>
      </c>
      <c r="U51" s="19">
        <v>1</v>
      </c>
      <c r="V51" s="25" t="str">
        <f>=IF(I51&lt;H51-0.000001,"LIMITADA","")</f>
        <v/>
      </c>
    </row>
    <row r="52">
      <c r="A52" s="19">
        <v>6</v>
      </c>
      <c r="B52" s="19" t="str">
        <v>Endodoncia</v>
      </c>
      <c r="C52" s="16">
        <v>150</v>
      </c>
      <c r="D52" s="26">
        <v>70</v>
      </c>
      <c r="E52" s="26">
        <v>0</v>
      </c>
      <c r="F52" s="16">
        <v>40</v>
      </c>
      <c r="G52" s="6">
        <f>=(C52*((1+Parametros!$C$10)^MAX(0,($A52-1))))</f>
        <v>173.89111114499997</v>
      </c>
      <c r="H52" s="6">
        <f>=IF(($A52&gt;=Q52),(D52*((1+Parametros!$C$11)^MAX(0,($A52-Q52)))),0)</f>
        <v>89.33970937500001</v>
      </c>
      <c r="I52" s="6">
        <f>=Capacidad!$E$52</f>
        <v>89.33970937500001</v>
      </c>
      <c r="J52" s="6">
        <f>=(I52*12)</f>
        <v>1072.0765125000003</v>
      </c>
      <c r="K52" s="6">
        <f>=(F52*((1+Parametros!$C$8)^MAX(0,($A52-1))))</f>
        <v>48.66611609600001</v>
      </c>
      <c r="L52" s="6">
        <f>=(G52*J52)</f>
        <v>186424.57599108148</v>
      </c>
      <c r="M52" s="6">
        <f>=(K52*J52)</f>
        <v>52173.800021119816</v>
      </c>
      <c r="N52" s="6">
        <f>=(L52-M52)</f>
        <v>134250.77596996166</v>
      </c>
      <c r="O52" s="19">
        <v>60</v>
      </c>
      <c r="P52" s="23">
        <f>=Capacidad!$F$52</f>
        <v>0.09796020764802633</v>
      </c>
      <c r="Q52" s="19">
        <v>1</v>
      </c>
      <c r="R52" s="19">
        <v>1</v>
      </c>
      <c r="S52" s="19">
        <v>0</v>
      </c>
      <c r="T52" s="19">
        <v>0</v>
      </c>
      <c r="U52" s="19">
        <v>1</v>
      </c>
      <c r="V52" s="25" t="str">
        <f>=IF(I52&lt;H52-0.000001,"LIMITADA","")</f>
        <v/>
      </c>
    </row>
    <row r="53">
      <c r="A53" s="19">
        <v>6</v>
      </c>
      <c r="B53" s="19" t="str">
        <v>Periodoncia</v>
      </c>
      <c r="C53" s="16">
        <v>120</v>
      </c>
      <c r="D53" s="26">
        <v>60</v>
      </c>
      <c r="E53" s="26">
        <v>0</v>
      </c>
      <c r="F53" s="16">
        <v>30</v>
      </c>
      <c r="G53" s="6">
        <f>=(C53*((1+Parametros!$C$10)^MAX(0,($A53-1))))</f>
        <v>139.11288891599997</v>
      </c>
      <c r="H53" s="6">
        <f>=IF(($A53&gt;=Q53),(D53*((1+Parametros!$C$11)^MAX(0,($A53-Q53)))),0)</f>
        <v>76.57689375000001</v>
      </c>
      <c r="I53" s="6">
        <f>=Capacidad!$E$53</f>
        <v>76.57689375000001</v>
      </c>
      <c r="J53" s="6">
        <f>=(I53*12)</f>
        <v>918.9227250000001</v>
      </c>
      <c r="K53" s="6">
        <f>=(F53*((1+Parametros!$C$8)^MAX(0,($A53-1))))</f>
        <v>36.49958707200001</v>
      </c>
      <c r="L53" s="6">
        <f>=(G53*J53)</f>
        <v>127833.99496531302</v>
      </c>
      <c r="M53" s="6">
        <f>=(K53*J53)</f>
        <v>33540.30001357703</v>
      </c>
      <c r="N53" s="6">
        <f>=(L53-M53)</f>
        <v>94293.69495173599</v>
      </c>
      <c r="O53" s="19">
        <v>50</v>
      </c>
      <c r="P53" s="23">
        <f>=Capacidad!$F$53</f>
        <v>0.06997157689144737</v>
      </c>
      <c r="Q53" s="19">
        <v>1</v>
      </c>
      <c r="R53" s="19">
        <v>1</v>
      </c>
      <c r="S53" s="19">
        <v>0</v>
      </c>
      <c r="T53" s="19">
        <v>0</v>
      </c>
      <c r="U53" s="19">
        <v>1</v>
      </c>
      <c r="V53" s="25" t="str">
        <f>=IF(I53&lt;H53-0.000001,"LIMITADA","")</f>
        <v/>
      </c>
    </row>
    <row r="54">
      <c r="A54" s="19">
        <v>6</v>
      </c>
      <c r="B54" s="19" t="str">
        <v>Cirugía oral</v>
      </c>
      <c r="C54" s="16">
        <v>180</v>
      </c>
      <c r="D54" s="26">
        <v>35</v>
      </c>
      <c r="E54" s="26">
        <v>0</v>
      </c>
      <c r="F54" s="16">
        <v>45</v>
      </c>
      <c r="G54" s="6">
        <f>=(C54*((1+Parametros!$C$10)^MAX(0,($A54-1))))</f>
        <v>208.66933337399996</v>
      </c>
      <c r="H54" s="6">
        <f>=IF(($A54&gt;=Q54),(D54*((1+Parametros!$C$11)^MAX(0,($A54-Q54)))),0)</f>
        <v>44.669854687500006</v>
      </c>
      <c r="I54" s="6">
        <f>=Capacidad!$E$54</f>
        <v>44.669854687500006</v>
      </c>
      <c r="J54" s="6">
        <f>=(I54*12)</f>
        <v>536.0382562500001</v>
      </c>
      <c r="K54" s="6">
        <f>=(F54*((1+Parametros!$C$8)^MAX(0,($A54-1))))</f>
        <v>54.74938060800002</v>
      </c>
      <c r="L54" s="6">
        <f>=(G54*J54)</f>
        <v>111854.74559464889</v>
      </c>
      <c r="M54" s="6">
        <f>=(K54*J54)</f>
        <v>29347.7625118799</v>
      </c>
      <c r="N54" s="6">
        <f>=(L54-M54)</f>
        <v>82506.98308276899</v>
      </c>
      <c r="O54" s="19">
        <v>60</v>
      </c>
      <c r="P54" s="23">
        <f>=Capacidad!$F$54</f>
        <v>0.04898010382401317</v>
      </c>
      <c r="Q54" s="19">
        <v>1</v>
      </c>
      <c r="R54" s="19">
        <v>1</v>
      </c>
      <c r="S54" s="19">
        <v>0</v>
      </c>
      <c r="T54" s="19">
        <v>0</v>
      </c>
      <c r="U54" s="19">
        <v>1</v>
      </c>
      <c r="V54" s="25" t="str">
        <f>=IF(I54&lt;H54-0.000001,"LIMITADA","")</f>
        <v/>
      </c>
    </row>
    <row r="55">
      <c r="A55" s="19">
        <v>6</v>
      </c>
      <c r="B55" s="19" t="str">
        <v>Prótesis estomatológica</v>
      </c>
      <c r="C55" s="16">
        <v>400</v>
      </c>
      <c r="D55" s="26">
        <v>28</v>
      </c>
      <c r="E55" s="26">
        <v>0</v>
      </c>
      <c r="F55" s="16">
        <v>120</v>
      </c>
      <c r="G55" s="6">
        <f>=(C55*((1+Parametros!$C$10)^MAX(0,($A55-1))))</f>
        <v>463.70962971999995</v>
      </c>
      <c r="H55" s="6">
        <f>=IF(($A55&gt;=Q55),(D55*((1+Parametros!$C$11)^MAX(0,($A55-Q55)))),0)</f>
        <v>35.735883750000006</v>
      </c>
      <c r="I55" s="6">
        <f>=Capacidad!$E$55</f>
        <v>35.735883750000006</v>
      </c>
      <c r="J55" s="6">
        <f>=(I55*12)</f>
        <v>428.8306050000001</v>
      </c>
      <c r="K55" s="6">
        <f>=(F55*((1+Parametros!$C$8)^MAX(0,($A55-1))))</f>
        <v>145.99834828800005</v>
      </c>
      <c r="L55" s="6">
        <f>=(G55*J55)</f>
        <v>198852.8810571536</v>
      </c>
      <c r="M55" s="6">
        <f>=(K55*J55)</f>
        <v>62608.56002534379</v>
      </c>
      <c r="N55" s="6">
        <f>=(L55-M55)</f>
        <v>136244.3210318098</v>
      </c>
      <c r="O55" s="19">
        <v>90</v>
      </c>
      <c r="P55" s="23">
        <f>=Capacidad!$F$55</f>
        <v>0.39184083059210534</v>
      </c>
      <c r="Q55" s="19">
        <v>1</v>
      </c>
      <c r="R55" s="19">
        <v>0</v>
      </c>
      <c r="S55" s="19">
        <v>0</v>
      </c>
      <c r="T55" s="19">
        <v>1</v>
      </c>
      <c r="U55" s="19">
        <v>1</v>
      </c>
      <c r="V55" s="25" t="str">
        <f>=IF(I55&lt;H55-0.000001,"LIMITADA","")</f>
        <v/>
      </c>
    </row>
    <row r="56">
      <c r="A56" s="19">
        <v>6</v>
      </c>
      <c r="B56" s="19" t="str">
        <v>Ortodoncia</v>
      </c>
      <c r="C56" s="16">
        <v>1200</v>
      </c>
      <c r="D56" s="26">
        <v>9</v>
      </c>
      <c r="E56" s="26">
        <v>0</v>
      </c>
      <c r="F56" s="16">
        <v>300</v>
      </c>
      <c r="G56" s="6">
        <f>=(C56*((1+Parametros!$C$10)^MAX(0,($A56-1))))</f>
        <v>1391.1288891599997</v>
      </c>
      <c r="H56" s="6">
        <f>=IF(($A56&gt;=Q56),(D56*((1+Parametros!$C$11)^MAX(0,($A56-Q56)))),0)</f>
        <v>11.4865340625</v>
      </c>
      <c r="I56" s="6">
        <f>=Capacidad!$E$56</f>
        <v>11.4865340625</v>
      </c>
      <c r="J56" s="6">
        <f>=(I56*12)</f>
        <v>137.83840875</v>
      </c>
      <c r="K56" s="6">
        <f>=(F56*((1+Parametros!$C$8)^MAX(0,($A56-1))))</f>
        <v>364.9958707200001</v>
      </c>
      <c r="L56" s="6">
        <f>=(G56*J56)</f>
        <v>191750.9924479695</v>
      </c>
      <c r="M56" s="6">
        <f>=(K56*J56)</f>
        <v>50310.45002036553</v>
      </c>
      <c r="N56" s="6">
        <f>=(L56-M56)</f>
        <v>141440.54242760397</v>
      </c>
      <c r="O56" s="19">
        <v>90</v>
      </c>
      <c r="P56" s="23">
        <f>=Capacidad!$F$56</f>
        <v>0.01889232576069079</v>
      </c>
      <c r="Q56" s="19">
        <v>1</v>
      </c>
      <c r="R56" s="19">
        <v>1</v>
      </c>
      <c r="S56" s="19">
        <v>0</v>
      </c>
      <c r="T56" s="19">
        <v>0</v>
      </c>
      <c r="U56" s="19">
        <v>1</v>
      </c>
      <c r="V56" s="25" t="str">
        <f>=IF(I56&lt;H56-0.000001,"LIMITADA","")</f>
        <v/>
      </c>
    </row>
    <row r="57">
      <c r="A57" s="19">
        <v>6</v>
      </c>
      <c r="B57" s="19" t="str">
        <v>Imagenología dental</v>
      </c>
      <c r="C57" s="16">
        <v>45</v>
      </c>
      <c r="D57" s="26">
        <v>130</v>
      </c>
      <c r="E57" s="26">
        <v>0</v>
      </c>
      <c r="F57" s="16">
        <v>8</v>
      </c>
      <c r="G57" s="6">
        <f>=(C57*((1+Parametros!$C$10)^MAX(0,($A57-1))))</f>
        <v>52.16733334349999</v>
      </c>
      <c r="H57" s="6">
        <f>=IF(($A57&gt;=Q57),(D57*((1+Parametros!$C$11)^MAX(0,($A57-Q57)))),0)</f>
        <v>165.91660312500002</v>
      </c>
      <c r="I57" s="6">
        <f>=Capacidad!$E$57</f>
        <v>165.91660312500002</v>
      </c>
      <c r="J57" s="6">
        <f>=(I57*12)</f>
        <v>1990.9992375000002</v>
      </c>
      <c r="K57" s="6">
        <f>=(F57*((1+Parametros!$C$8)^MAX(0,($A57-1))))</f>
        <v>9.733223219200003</v>
      </c>
      <c r="L57" s="6">
        <f>=(G57*J57)</f>
        <v>103865.12090931681</v>
      </c>
      <c r="M57" s="6">
        <f>=(K57*J57)</f>
        <v>19378.8400078445</v>
      </c>
      <c r="N57" s="6">
        <f>=(L57-M57)</f>
        <v>84486.28090147232</v>
      </c>
      <c r="O57" s="19">
        <v>20</v>
      </c>
      <c r="P57" s="23">
        <f>=Capacidad!$F$57</f>
        <v>0.2133701171875</v>
      </c>
      <c r="Q57" s="19">
        <v>1</v>
      </c>
      <c r="R57" s="19">
        <v>0</v>
      </c>
      <c r="S57" s="19">
        <v>1</v>
      </c>
      <c r="T57" s="19">
        <v>0</v>
      </c>
      <c r="U57" s="19">
        <v>1</v>
      </c>
      <c r="V57" s="25" t="str">
        <f>=IF(I57&lt;H57-0.000001,"LIMITADA","")</f>
        <v/>
      </c>
    </row>
    <row r="58">
      <c r="A58" s="19">
        <v>7</v>
      </c>
      <c r="B58" s="19" t="str">
        <v>Consulta estomatológica</v>
      </c>
      <c r="C58" s="16">
        <v>25</v>
      </c>
      <c r="D58" s="26">
        <v>400</v>
      </c>
      <c r="E58" s="26">
        <v>0</v>
      </c>
      <c r="F58" s="16">
        <v>6</v>
      </c>
      <c r="G58" s="6">
        <f>=(C58*((1+Parametros!$C$10)^MAX(0,($A58-1))))</f>
        <v>29.851307413224998</v>
      </c>
      <c r="H58" s="6">
        <f>=IF(($A58&gt;=Q58),(D58*((1+Parametros!$C$11)^MAX(0,($A58-Q58)))),0)</f>
        <v>536.03825625</v>
      </c>
      <c r="I58" s="6">
        <f>=Capacidad!$E$58</f>
        <v>536.03825625</v>
      </c>
      <c r="J58" s="6">
        <f>=(I58*12)</f>
        <v>6432.459075000001</v>
      </c>
      <c r="K58" s="6">
        <f>=(F58*((1+Parametros!$C$8)^MAX(0,($A58-1))))</f>
        <v>7.591914110976003</v>
      </c>
      <c r="L58" s="6">
        <f>=(G58*J58)</f>
        <v>192017.31327081393</v>
      </c>
      <c r="M58" s="6">
        <f>=(K58*J58)</f>
        <v>48834.67681976815</v>
      </c>
      <c r="N58" s="6">
        <f>=(L58-M58)</f>
        <v>143182.63645104578</v>
      </c>
      <c r="O58" s="19">
        <v>30</v>
      </c>
      <c r="P58" s="23">
        <f>=Capacidad!$F$58</f>
        <v>0.20991473067434216</v>
      </c>
      <c r="Q58" s="19">
        <v>1</v>
      </c>
      <c r="R58" s="19">
        <v>1</v>
      </c>
      <c r="S58" s="19">
        <v>0</v>
      </c>
      <c r="T58" s="19">
        <v>0</v>
      </c>
      <c r="U58" s="19">
        <v>1</v>
      </c>
      <c r="V58" s="25" t="str">
        <f>=IF(I58&lt;H58-0.000001,"LIMITADA","")</f>
        <v/>
      </c>
    </row>
    <row r="59">
      <c r="A59" s="19">
        <v>7</v>
      </c>
      <c r="B59" s="19" t="str">
        <v>Odontología preventiva (profilaxis y sellado)</v>
      </c>
      <c r="C59" s="16">
        <v>35</v>
      </c>
      <c r="D59" s="26">
        <v>160</v>
      </c>
      <c r="E59" s="26">
        <v>0</v>
      </c>
      <c r="F59" s="16">
        <v>10</v>
      </c>
      <c r="G59" s="6">
        <f>=(C59*((1+Parametros!$C$10)^MAX(0,($A59-1))))</f>
        <v>41.791830378514994</v>
      </c>
      <c r="H59" s="6">
        <f>=IF(($A59&gt;=Q59),(D59*((1+Parametros!$C$11)^MAX(0,($A59-Q59)))),0)</f>
        <v>214.4153025</v>
      </c>
      <c r="I59" s="6">
        <f>=Capacidad!$E$59</f>
        <v>214.4153025</v>
      </c>
      <c r="J59" s="6">
        <f>=(I59*12)</f>
        <v>2572.9836299999997</v>
      </c>
      <c r="K59" s="6">
        <f>=(F59*((1+Parametros!$C$8)^MAX(0,($A59-1))))</f>
        <v>12.653190184960003</v>
      </c>
      <c r="L59" s="6">
        <f>=(G59*J59)</f>
        <v>107529.69543165577</v>
      </c>
      <c r="M59" s="6">
        <f>=(K59*J59)</f>
        <v>32556.451213178756</v>
      </c>
      <c r="N59" s="6">
        <f>=(L59-M59)</f>
        <v>74973.24421847702</v>
      </c>
      <c r="O59" s="19">
        <v>40</v>
      </c>
      <c r="P59" s="23">
        <f>=Capacidad!$F$59</f>
        <v>0.11195452302631581</v>
      </c>
      <c r="Q59" s="19">
        <v>1</v>
      </c>
      <c r="R59" s="19">
        <v>1</v>
      </c>
      <c r="S59" s="19">
        <v>0</v>
      </c>
      <c r="T59" s="19">
        <v>0</v>
      </c>
      <c r="U59" s="19">
        <v>1</v>
      </c>
      <c r="V59" s="25" t="str">
        <f>=IF(I59&lt;H59-0.000001,"LIMITADA","")</f>
        <v/>
      </c>
    </row>
    <row r="60">
      <c r="A60" s="19">
        <v>7</v>
      </c>
      <c r="B60" s="19" t="str">
        <v>Restauraciones (obturaciones)</v>
      </c>
      <c r="C60" s="16">
        <v>60</v>
      </c>
      <c r="D60" s="26">
        <v>220</v>
      </c>
      <c r="E60" s="26">
        <v>0</v>
      </c>
      <c r="F60" s="16">
        <v>18</v>
      </c>
      <c r="G60" s="6">
        <f>=(C60*((1+Parametros!$C$10)^MAX(0,($A60-1))))</f>
        <v>71.64313779173999</v>
      </c>
      <c r="H60" s="6">
        <f>=IF(($A60&gt;=Q60),(D60*((1+Parametros!$C$11)^MAX(0,($A60-Q60)))),0)</f>
        <v>294.8210409375</v>
      </c>
      <c r="I60" s="6">
        <f>=Capacidad!$E$60</f>
        <v>294.8210409375</v>
      </c>
      <c r="J60" s="6">
        <f>=(I60*12)</f>
        <v>3537.85249125</v>
      </c>
      <c r="K60" s="6">
        <f>=(F60*((1+Parametros!$C$8)^MAX(0,($A60-1))))</f>
        <v>22.775742332928008</v>
      </c>
      <c r="L60" s="6">
        <f>=(G60*J60)</f>
        <v>253462.85351747434</v>
      </c>
      <c r="M60" s="6">
        <f>=(K60*J60)</f>
        <v>80577.21675261745</v>
      </c>
      <c r="N60" s="6">
        <f>=(L60-M60)</f>
        <v>172885.6367648569</v>
      </c>
      <c r="O60" s="19">
        <v>45</v>
      </c>
      <c r="P60" s="23">
        <f>=Capacidad!$F$60</f>
        <v>0.1731796528063323</v>
      </c>
      <c r="Q60" s="19">
        <v>1</v>
      </c>
      <c r="R60" s="19">
        <v>1</v>
      </c>
      <c r="S60" s="19">
        <v>0</v>
      </c>
      <c r="T60" s="19">
        <v>0</v>
      </c>
      <c r="U60" s="19">
        <v>1</v>
      </c>
      <c r="V60" s="25" t="str">
        <f>=IF(I60&lt;H60-0.000001,"LIMITADA","")</f>
        <v/>
      </c>
    </row>
    <row r="61">
      <c r="A61" s="19">
        <v>7</v>
      </c>
      <c r="B61" s="19" t="str">
        <v>Endodoncia</v>
      </c>
      <c r="C61" s="16">
        <v>150</v>
      </c>
      <c r="D61" s="26">
        <v>70</v>
      </c>
      <c r="E61" s="26">
        <v>0</v>
      </c>
      <c r="F61" s="16">
        <v>40</v>
      </c>
      <c r="G61" s="6">
        <f>=(C61*((1+Parametros!$C$10)^MAX(0,($A61-1))))</f>
        <v>179.10784447934998</v>
      </c>
      <c r="H61" s="6">
        <f>=IF(($A61&gt;=Q61),(D61*((1+Parametros!$C$11)^MAX(0,($A61-Q61)))),0)</f>
        <v>93.80669484375</v>
      </c>
      <c r="I61" s="6">
        <f>=Capacidad!$E$61</f>
        <v>93.80669484375</v>
      </c>
      <c r="J61" s="6">
        <f>=(I61*12)</f>
        <v>1125.680338125</v>
      </c>
      <c r="K61" s="6">
        <f>=(F61*((1+Parametros!$C$8)^MAX(0,($A61-1))))</f>
        <v>50.61276073984001</v>
      </c>
      <c r="L61" s="6">
        <f>=(G61*J61)</f>
        <v>201618.1789343546</v>
      </c>
      <c r="M61" s="6">
        <f>=(K61*J61)</f>
        <v>56973.789623062825</v>
      </c>
      <c r="N61" s="6">
        <f>=(L61-M61)</f>
        <v>144644.38931129177</v>
      </c>
      <c r="O61" s="19">
        <v>60</v>
      </c>
      <c r="P61" s="23">
        <f>=Capacidad!$F$61</f>
        <v>0.07347015573601975</v>
      </c>
      <c r="Q61" s="19">
        <v>1</v>
      </c>
      <c r="R61" s="19">
        <v>1</v>
      </c>
      <c r="S61" s="19">
        <v>0</v>
      </c>
      <c r="T61" s="19">
        <v>0</v>
      </c>
      <c r="U61" s="19">
        <v>1</v>
      </c>
      <c r="V61" s="25" t="str">
        <f>=IF(I61&lt;H61-0.000001,"LIMITADA","")</f>
        <v/>
      </c>
    </row>
    <row r="62">
      <c r="A62" s="19">
        <v>7</v>
      </c>
      <c r="B62" s="19" t="str">
        <v>Periodoncia</v>
      </c>
      <c r="C62" s="16">
        <v>120</v>
      </c>
      <c r="D62" s="26">
        <v>60</v>
      </c>
      <c r="E62" s="26">
        <v>0</v>
      </c>
      <c r="F62" s="16">
        <v>30</v>
      </c>
      <c r="G62" s="6">
        <f>=(C62*((1+Parametros!$C$10)^MAX(0,($A62-1))))</f>
        <v>143.28627558347998</v>
      </c>
      <c r="H62" s="6">
        <f>=IF(($A62&gt;=Q62),(D62*((1+Parametros!$C$11)^MAX(0,($A62-Q62)))),0)</f>
        <v>80.40573843749999</v>
      </c>
      <c r="I62" s="6">
        <f>=Capacidad!$E$62</f>
        <v>80.40573843749999</v>
      </c>
      <c r="J62" s="6">
        <f>=(I62*12)</f>
        <v>964.8688612499999</v>
      </c>
      <c r="K62" s="6">
        <f>=(F62*((1+Parametros!$C$8)^MAX(0,($A62-1))))</f>
        <v>37.95957055488001</v>
      </c>
      <c r="L62" s="6">
        <f>=(G62*J62)</f>
        <v>138252.465554986</v>
      </c>
      <c r="M62" s="6">
        <f>=(K62*J62)</f>
        <v>36626.0076148261</v>
      </c>
      <c r="N62" s="6">
        <f>=(L62-M62)</f>
        <v>101626.4579401599</v>
      </c>
      <c r="O62" s="19">
        <v>50</v>
      </c>
      <c r="P62" s="23">
        <f>=Capacidad!$F$62</f>
        <v>0.05247868266858553</v>
      </c>
      <c r="Q62" s="19">
        <v>1</v>
      </c>
      <c r="R62" s="19">
        <v>1</v>
      </c>
      <c r="S62" s="19">
        <v>0</v>
      </c>
      <c r="T62" s="19">
        <v>0</v>
      </c>
      <c r="U62" s="19">
        <v>1</v>
      </c>
      <c r="V62" s="25" t="str">
        <f>=IF(I62&lt;H62-0.000001,"LIMITADA","")</f>
        <v/>
      </c>
    </row>
    <row r="63">
      <c r="A63" s="19">
        <v>7</v>
      </c>
      <c r="B63" s="19" t="str">
        <v>Cirugía oral</v>
      </c>
      <c r="C63" s="16">
        <v>180</v>
      </c>
      <c r="D63" s="26">
        <v>35</v>
      </c>
      <c r="E63" s="26">
        <v>0</v>
      </c>
      <c r="F63" s="16">
        <v>45</v>
      </c>
      <c r="G63" s="6">
        <f>=(C63*((1+Parametros!$C$10)^MAX(0,($A63-1))))</f>
        <v>214.92941337521998</v>
      </c>
      <c r="H63" s="6">
        <f>=IF(($A63&gt;=Q63),(D63*((1+Parametros!$C$11)^MAX(0,($A63-Q63)))),0)</f>
        <v>46.903347421875</v>
      </c>
      <c r="I63" s="6">
        <f>=Capacidad!$E$63</f>
        <v>46.903347421875</v>
      </c>
      <c r="J63" s="6">
        <f>=(I63*12)</f>
        <v>562.8401690625</v>
      </c>
      <c r="K63" s="6">
        <f>=(F63*((1+Parametros!$C$8)^MAX(0,($A63-1))))</f>
        <v>56.93935583232002</v>
      </c>
      <c r="L63" s="6">
        <f>=(G63*J63)</f>
        <v>120970.90736061275</v>
      </c>
      <c r="M63" s="6">
        <f>=(K63*J63)</f>
        <v>32047.756662972843</v>
      </c>
      <c r="N63" s="6">
        <f>=(L63-M63)</f>
        <v>88923.15069763991</v>
      </c>
      <c r="O63" s="19">
        <v>60</v>
      </c>
      <c r="P63" s="23">
        <f>=Capacidad!$F$63</f>
        <v>0.03673507786800988</v>
      </c>
      <c r="Q63" s="19">
        <v>1</v>
      </c>
      <c r="R63" s="19">
        <v>1</v>
      </c>
      <c r="S63" s="19">
        <v>0</v>
      </c>
      <c r="T63" s="19">
        <v>0</v>
      </c>
      <c r="U63" s="19">
        <v>1</v>
      </c>
      <c r="V63" s="25" t="str">
        <f>=IF(I63&lt;H63-0.000001,"LIMITADA","")</f>
        <v/>
      </c>
    </row>
    <row r="64">
      <c r="A64" s="19">
        <v>7</v>
      </c>
      <c r="B64" s="19" t="str">
        <v>Prótesis estomatológica</v>
      </c>
      <c r="C64" s="16">
        <v>400</v>
      </c>
      <c r="D64" s="26">
        <v>28</v>
      </c>
      <c r="E64" s="26">
        <v>0</v>
      </c>
      <c r="F64" s="16">
        <v>120</v>
      </c>
      <c r="G64" s="6">
        <f>=(C64*((1+Parametros!$C$10)^MAX(0,($A64-1))))</f>
        <v>477.62091861159996</v>
      </c>
      <c r="H64" s="6">
        <f>=IF(($A64&gt;=Q64),(D64*((1+Parametros!$C$11)^MAX(0,($A64-Q64)))),0)</f>
        <v>37.5226779375</v>
      </c>
      <c r="I64" s="6">
        <f>=Capacidad!$E$64</f>
        <v>37.5226779375</v>
      </c>
      <c r="J64" s="6">
        <f>=(I64*12)</f>
        <v>450.27213525</v>
      </c>
      <c r="K64" s="6">
        <f>=(F64*((1+Parametros!$C$8)^MAX(0,($A64-1))))</f>
        <v>151.83828221952004</v>
      </c>
      <c r="L64" s="6">
        <f>=(G64*J64)</f>
        <v>215059.3908633116</v>
      </c>
      <c r="M64" s="6">
        <f>=(K64*J64)</f>
        <v>68368.5475476754</v>
      </c>
      <c r="N64" s="6">
        <f>=(L64-M64)</f>
        <v>146690.8433156362</v>
      </c>
      <c r="O64" s="19">
        <v>90</v>
      </c>
      <c r="P64" s="23">
        <f>=Capacidad!$F$64</f>
        <v>0.4114328721217105</v>
      </c>
      <c r="Q64" s="19">
        <v>1</v>
      </c>
      <c r="R64" s="19">
        <v>0</v>
      </c>
      <c r="S64" s="19">
        <v>0</v>
      </c>
      <c r="T64" s="19">
        <v>1</v>
      </c>
      <c r="U64" s="19">
        <v>1</v>
      </c>
      <c r="V64" s="25" t="str">
        <f>=IF(I64&lt;H64-0.000001,"LIMITADA","")</f>
        <v/>
      </c>
    </row>
    <row r="65">
      <c r="A65" s="19">
        <v>7</v>
      </c>
      <c r="B65" s="19" t="str">
        <v>Ortodoncia</v>
      </c>
      <c r="C65" s="16">
        <v>1200</v>
      </c>
      <c r="D65" s="26">
        <v>9</v>
      </c>
      <c r="E65" s="26">
        <v>0</v>
      </c>
      <c r="F65" s="16">
        <v>300</v>
      </c>
      <c r="G65" s="6">
        <f>=(C65*((1+Parametros!$C$10)^MAX(0,($A65-1))))</f>
        <v>1432.8627558347998</v>
      </c>
      <c r="H65" s="6">
        <f>=IF(($A65&gt;=Q65),(D65*((1+Parametros!$C$11)^MAX(0,($A65-Q65)))),0)</f>
        <v>12.060860765625</v>
      </c>
      <c r="I65" s="6">
        <f>=Capacidad!$E$65</f>
        <v>12.060860765625</v>
      </c>
      <c r="J65" s="6">
        <f>=(I65*12)</f>
        <v>144.7303291875</v>
      </c>
      <c r="K65" s="6">
        <f>=(F65*((1+Parametros!$C$8)^MAX(0,($A65-1))))</f>
        <v>379.5957055488001</v>
      </c>
      <c r="L65" s="6">
        <f>=(G65*J65)</f>
        <v>207378.698332479</v>
      </c>
      <c r="M65" s="6">
        <f>=(K65*J65)</f>
        <v>54939.01142223915</v>
      </c>
      <c r="N65" s="6">
        <f>=(L65-M65)</f>
        <v>152439.68691023983</v>
      </c>
      <c r="O65" s="19">
        <v>90</v>
      </c>
      <c r="P65" s="23">
        <f>=Capacidad!$F$65</f>
        <v>0.014169244320518096</v>
      </c>
      <c r="Q65" s="19">
        <v>1</v>
      </c>
      <c r="R65" s="19">
        <v>1</v>
      </c>
      <c r="S65" s="19">
        <v>0</v>
      </c>
      <c r="T65" s="19">
        <v>0</v>
      </c>
      <c r="U65" s="19">
        <v>1</v>
      </c>
      <c r="V65" s="25" t="str">
        <f>=IF(I65&lt;H65-0.000001,"LIMITADA","")</f>
        <v/>
      </c>
    </row>
    <row r="66">
      <c r="A66" s="19">
        <v>7</v>
      </c>
      <c r="B66" s="19" t="str">
        <v>Imagenología dental</v>
      </c>
      <c r="C66" s="16">
        <v>45</v>
      </c>
      <c r="D66" s="26">
        <v>130</v>
      </c>
      <c r="E66" s="26">
        <v>0</v>
      </c>
      <c r="F66" s="16">
        <v>8</v>
      </c>
      <c r="G66" s="6">
        <f>=(C66*((1+Parametros!$C$10)^MAX(0,($A66-1))))</f>
        <v>53.732353343804995</v>
      </c>
      <c r="H66" s="6">
        <f>=IF(($A66&gt;=Q66),(D66*((1+Parametros!$C$11)^MAX(0,($A66-Q66)))),0)</f>
        <v>174.21243328125</v>
      </c>
      <c r="I66" s="6">
        <f>=Capacidad!$E$66</f>
        <v>174.21243328125</v>
      </c>
      <c r="J66" s="6">
        <f>=(I66*12)</f>
        <v>2090.5491993749997</v>
      </c>
      <c r="K66" s="6">
        <f>=(F66*((1+Parametros!$C$8)^MAX(0,($A66-1))))</f>
        <v>10.122552147968003</v>
      </c>
      <c r="L66" s="6">
        <f>=(G66*J66)</f>
        <v>112330.12826342612</v>
      </c>
      <c r="M66" s="6">
        <f>=(K66*J66)</f>
        <v>21161.69328856619</v>
      </c>
      <c r="N66" s="6">
        <f>=(L66-M66)</f>
        <v>91168.43497485992</v>
      </c>
      <c r="O66" s="19">
        <v>20</v>
      </c>
      <c r="P66" s="23">
        <f>=Capacidad!$F$66</f>
        <v>0.22403862304687497</v>
      </c>
      <c r="Q66" s="19">
        <v>1</v>
      </c>
      <c r="R66" s="19">
        <v>0</v>
      </c>
      <c r="S66" s="19">
        <v>1</v>
      </c>
      <c r="T66" s="19">
        <v>0</v>
      </c>
      <c r="U66" s="19">
        <v>1</v>
      </c>
      <c r="V66" s="25" t="str">
        <f>=IF(I66&lt;H66-0.000001,"LIMITADA","")</f>
        <v/>
      </c>
    </row>
    <row r="67">
      <c r="A67" s="19">
        <v>8</v>
      </c>
      <c r="B67" s="19" t="str">
        <v>Consulta estomatológica</v>
      </c>
      <c r="C67" s="16">
        <v>25</v>
      </c>
      <c r="D67" s="26">
        <v>400</v>
      </c>
      <c r="E67" s="26">
        <v>0</v>
      </c>
      <c r="F67" s="16">
        <v>6</v>
      </c>
      <c r="G67" s="6">
        <f>=(C67*((1+Parametros!$C$10)^MAX(0,($A67-1))))</f>
        <v>30.74684663562175</v>
      </c>
      <c r="H67" s="6">
        <f>=IF(($A67&gt;=Q67),(D67*((1+Parametros!$C$11)^MAX(0,($A67-Q67)))),0)</f>
        <v>562.8401690625001</v>
      </c>
      <c r="I67" s="6">
        <f>=Capacidad!$E$67</f>
        <v>562.8401690625001</v>
      </c>
      <c r="J67" s="6">
        <f>=(I67*12)</f>
        <v>6754.082028750001</v>
      </c>
      <c r="K67" s="6">
        <f>=(F67*((1+Parametros!$C$8)^MAX(0,($A67-1))))</f>
        <v>7.895590675415042</v>
      </c>
      <c r="L67" s="6">
        <f>=(G67*J67)</f>
        <v>207666.7243023853</v>
      </c>
      <c r="M67" s="6">
        <f>=(K67*J67)</f>
        <v>53327.467087186815</v>
      </c>
      <c r="N67" s="6">
        <f>=(L67-M67)</f>
        <v>154339.25721519848</v>
      </c>
      <c r="O67" s="19">
        <v>30</v>
      </c>
      <c r="P67" s="23">
        <f>=Capacidad!$F$67</f>
        <v>0.2204104672080593</v>
      </c>
      <c r="Q67" s="19">
        <v>1</v>
      </c>
      <c r="R67" s="19">
        <v>1</v>
      </c>
      <c r="S67" s="19">
        <v>0</v>
      </c>
      <c r="T67" s="19">
        <v>0</v>
      </c>
      <c r="U67" s="19">
        <v>1</v>
      </c>
      <c r="V67" s="25" t="str">
        <f>=IF(I67&lt;H67-0.000001,"LIMITADA","")</f>
        <v/>
      </c>
    </row>
    <row r="68">
      <c r="A68" s="19">
        <v>8</v>
      </c>
      <c r="B68" s="19" t="str">
        <v>Odontología preventiva (profilaxis y sellado)</v>
      </c>
      <c r="C68" s="16">
        <v>35</v>
      </c>
      <c r="D68" s="26">
        <v>160</v>
      </c>
      <c r="E68" s="26">
        <v>0</v>
      </c>
      <c r="F68" s="16">
        <v>10</v>
      </c>
      <c r="G68" s="6">
        <f>=(C68*((1+Parametros!$C$10)^MAX(0,($A68-1))))</f>
        <v>43.04558528987045</v>
      </c>
      <c r="H68" s="6">
        <f>=IF(($A68&gt;=Q68),(D68*((1+Parametros!$C$11)^MAX(0,($A68-Q68)))),0)</f>
        <v>225.13606762500004</v>
      </c>
      <c r="I68" s="6">
        <f>=Capacidad!$E$68</f>
        <v>225.13606762500004</v>
      </c>
      <c r="J68" s="6">
        <f>=(I68*12)</f>
        <v>2701.6328115000006</v>
      </c>
      <c r="K68" s="6">
        <f>=(F68*((1+Parametros!$C$8)^MAX(0,($A68-1))))</f>
        <v>13.159317792358403</v>
      </c>
      <c r="L68" s="6">
        <f>=(G68*J68)</f>
        <v>116293.36560933577</v>
      </c>
      <c r="M68" s="6">
        <f>=(K68*J68)</f>
        <v>35551.644724791215</v>
      </c>
      <c r="N68" s="6">
        <f>=(L68-M68)</f>
        <v>80741.72088454456</v>
      </c>
      <c r="O68" s="19">
        <v>40</v>
      </c>
      <c r="P68" s="23">
        <f>=Capacidad!$F$68</f>
        <v>0.11755224917763163</v>
      </c>
      <c r="Q68" s="19">
        <v>1</v>
      </c>
      <c r="R68" s="19">
        <v>1</v>
      </c>
      <c r="S68" s="19">
        <v>0</v>
      </c>
      <c r="T68" s="19">
        <v>0</v>
      </c>
      <c r="U68" s="19">
        <v>1</v>
      </c>
      <c r="V68" s="25" t="str">
        <f>=IF(I68&lt;H68-0.000001,"LIMITADA","")</f>
        <v/>
      </c>
    </row>
    <row r="69">
      <c r="A69" s="19">
        <v>8</v>
      </c>
      <c r="B69" s="19" t="str">
        <v>Restauraciones (obturaciones)</v>
      </c>
      <c r="C69" s="16">
        <v>60</v>
      </c>
      <c r="D69" s="26">
        <v>220</v>
      </c>
      <c r="E69" s="26">
        <v>0</v>
      </c>
      <c r="F69" s="16">
        <v>18</v>
      </c>
      <c r="G69" s="6">
        <f>=(C69*((1+Parametros!$C$10)^MAX(0,($A69-1))))</f>
        <v>73.7924319254922</v>
      </c>
      <c r="H69" s="6">
        <f>=IF(($A69&gt;=Q69),(D69*((1+Parametros!$C$11)^MAX(0,($A69-Q69)))),0)</f>
        <v>309.56209298437506</v>
      </c>
      <c r="I69" s="6">
        <f>=Capacidad!$E$69</f>
        <v>309.56209298437506</v>
      </c>
      <c r="J69" s="6">
        <f>=(I69*12)</f>
        <v>3714.7451158125004</v>
      </c>
      <c r="K69" s="6">
        <f>=(F69*((1+Parametros!$C$8)^MAX(0,($A69-1))))</f>
        <v>23.686772026245123</v>
      </c>
      <c r="L69" s="6">
        <f>=(G69*J69)</f>
        <v>274120.07607914857</v>
      </c>
      <c r="M69" s="6">
        <f>=(K69*J69)</f>
        <v>87990.32069385823</v>
      </c>
      <c r="N69" s="6">
        <f>=(L69-M69)</f>
        <v>186129.75538529034</v>
      </c>
      <c r="O69" s="19">
        <v>45</v>
      </c>
      <c r="P69" s="23">
        <f>=Capacidad!$F$69</f>
        <v>0.1818386354466489</v>
      </c>
      <c r="Q69" s="19">
        <v>1</v>
      </c>
      <c r="R69" s="19">
        <v>1</v>
      </c>
      <c r="S69" s="19">
        <v>0</v>
      </c>
      <c r="T69" s="19">
        <v>0</v>
      </c>
      <c r="U69" s="19">
        <v>1</v>
      </c>
      <c r="V69" s="25" t="str">
        <f>=IF(I69&lt;H69-0.000001,"LIMITADA","")</f>
        <v/>
      </c>
    </row>
    <row r="70">
      <c r="A70" s="19">
        <v>8</v>
      </c>
      <c r="B70" s="19" t="str">
        <v>Endodoncia</v>
      </c>
      <c r="C70" s="16">
        <v>150</v>
      </c>
      <c r="D70" s="26">
        <v>70</v>
      </c>
      <c r="E70" s="26">
        <v>0</v>
      </c>
      <c r="F70" s="16">
        <v>40</v>
      </c>
      <c r="G70" s="6">
        <f>=(C70*((1+Parametros!$C$10)^MAX(0,($A70-1))))</f>
        <v>184.4810798137305</v>
      </c>
      <c r="H70" s="6">
        <f>=IF(($A70&gt;=Q70),(D70*((1+Parametros!$C$11)^MAX(0,($A70-Q70)))),0)</f>
        <v>98.49702958593751</v>
      </c>
      <c r="I70" s="6">
        <f>=Capacidad!$E$70</f>
        <v>98.49702958593751</v>
      </c>
      <c r="J70" s="6">
        <f>=(I70*12)</f>
        <v>1181.96435503125</v>
      </c>
      <c r="K70" s="6">
        <f>=(F70*((1+Parametros!$C$8)^MAX(0,($A70-1))))</f>
        <v>52.63727116943361</v>
      </c>
      <c r="L70" s="6">
        <f>=(G70*J70)</f>
        <v>218050.06051750455</v>
      </c>
      <c r="M70" s="6">
        <f>=(K70*J70)</f>
        <v>62215.378268384615</v>
      </c>
      <c r="N70" s="6">
        <f>=(L70-M70)</f>
        <v>155834.68224911994</v>
      </c>
      <c r="O70" s="19">
        <v>60</v>
      </c>
      <c r="P70" s="23">
        <f>=Capacidad!$F$70</f>
        <v>0.07714366352282075</v>
      </c>
      <c r="Q70" s="19">
        <v>1</v>
      </c>
      <c r="R70" s="19">
        <v>1</v>
      </c>
      <c r="S70" s="19">
        <v>0</v>
      </c>
      <c r="T70" s="19">
        <v>0</v>
      </c>
      <c r="U70" s="19">
        <v>1</v>
      </c>
      <c r="V70" s="25" t="str">
        <f>=IF(I70&lt;H70-0.000001,"LIMITADA","")</f>
        <v/>
      </c>
    </row>
    <row r="71">
      <c r="A71" s="19">
        <v>8</v>
      </c>
      <c r="B71" s="19" t="str">
        <v>Periodoncia</v>
      </c>
      <c r="C71" s="16">
        <v>120</v>
      </c>
      <c r="D71" s="26">
        <v>60</v>
      </c>
      <c r="E71" s="26">
        <v>0</v>
      </c>
      <c r="F71" s="16">
        <v>30</v>
      </c>
      <c r="G71" s="6">
        <f>=(C71*((1+Parametros!$C$10)^MAX(0,($A71-1))))</f>
        <v>147.5848638509844</v>
      </c>
      <c r="H71" s="6">
        <f>=IF(($A71&gt;=Q71),(D71*((1+Parametros!$C$11)^MAX(0,($A71-Q71)))),0)</f>
        <v>84.42602535937502</v>
      </c>
      <c r="I71" s="6">
        <f>=Capacidad!$E$71</f>
        <v>84.42602535937502</v>
      </c>
      <c r="J71" s="6">
        <f>=(I71*12)</f>
        <v>1013.1123043125002</v>
      </c>
      <c r="K71" s="6">
        <f>=(F71*((1+Parametros!$C$8)^MAX(0,($A71-1))))</f>
        <v>39.47795337707521</v>
      </c>
      <c r="L71" s="6">
        <f>=(G71*J71)</f>
        <v>149520.0414977174</v>
      </c>
      <c r="M71" s="6">
        <f>=(K71*J71)</f>
        <v>39995.60031539012</v>
      </c>
      <c r="N71" s="6">
        <f>=(L71-M71)</f>
        <v>109524.44118232728</v>
      </c>
      <c r="O71" s="19">
        <v>50</v>
      </c>
      <c r="P71" s="23">
        <f>=Capacidad!$F$71</f>
        <v>0.05510261680201483</v>
      </c>
      <c r="Q71" s="19">
        <v>1</v>
      </c>
      <c r="R71" s="19">
        <v>1</v>
      </c>
      <c r="S71" s="19">
        <v>0</v>
      </c>
      <c r="T71" s="19">
        <v>0</v>
      </c>
      <c r="U71" s="19">
        <v>1</v>
      </c>
      <c r="V71" s="25" t="str">
        <f>=IF(I71&lt;H71-0.000001,"LIMITADA","")</f>
        <v/>
      </c>
    </row>
    <row r="72">
      <c r="A72" s="19">
        <v>8</v>
      </c>
      <c r="B72" s="19" t="str">
        <v>Cirugía oral</v>
      </c>
      <c r="C72" s="16">
        <v>180</v>
      </c>
      <c r="D72" s="26">
        <v>35</v>
      </c>
      <c r="E72" s="26">
        <v>0</v>
      </c>
      <c r="F72" s="16">
        <v>45</v>
      </c>
      <c r="G72" s="6">
        <f>=(C72*((1+Parametros!$C$10)^MAX(0,($A72-1))))</f>
        <v>221.3772957764766</v>
      </c>
      <c r="H72" s="6">
        <f>=IF(($A72&gt;=Q72),(D72*((1+Parametros!$C$11)^MAX(0,($A72-Q72)))),0)</f>
        <v>49.248514792968756</v>
      </c>
      <c r="I72" s="6">
        <f>=Capacidad!$E$72</f>
        <v>49.248514792968756</v>
      </c>
      <c r="J72" s="6">
        <f>=(I72*12)</f>
        <v>590.982177515625</v>
      </c>
      <c r="K72" s="6">
        <f>=(F72*((1+Parametros!$C$8)^MAX(0,($A72-1))))</f>
        <v>59.216930065612814</v>
      </c>
      <c r="L72" s="6">
        <f>=(G72*J72)</f>
        <v>130830.03631050272</v>
      </c>
      <c r="M72" s="6">
        <f>=(K72*J72)</f>
        <v>34996.15027596635</v>
      </c>
      <c r="N72" s="6">
        <f>=(L72-M72)</f>
        <v>95833.88603453638</v>
      </c>
      <c r="O72" s="19">
        <v>60</v>
      </c>
      <c r="P72" s="23">
        <f>=Capacidad!$F$72</f>
        <v>0.03857183176141037</v>
      </c>
      <c r="Q72" s="19">
        <v>1</v>
      </c>
      <c r="R72" s="19">
        <v>1</v>
      </c>
      <c r="S72" s="19">
        <v>0</v>
      </c>
      <c r="T72" s="19">
        <v>0</v>
      </c>
      <c r="U72" s="19">
        <v>1</v>
      </c>
      <c r="V72" s="25" t="str">
        <f>=IF(I72&lt;H72-0.000001,"LIMITADA","")</f>
        <v/>
      </c>
    </row>
    <row r="73">
      <c r="A73" s="19">
        <v>8</v>
      </c>
      <c r="B73" s="19" t="str">
        <v>Prótesis estomatológica</v>
      </c>
      <c r="C73" s="16">
        <v>400</v>
      </c>
      <c r="D73" s="26">
        <v>28</v>
      </c>
      <c r="E73" s="26">
        <v>0</v>
      </c>
      <c r="F73" s="16">
        <v>120</v>
      </c>
      <c r="G73" s="6">
        <f>=(C73*((1+Parametros!$C$10)^MAX(0,($A73-1))))</f>
        <v>491.949546169948</v>
      </c>
      <c r="H73" s="6">
        <f>=IF(($A73&gt;=Q73),(D73*((1+Parametros!$C$11)^MAX(0,($A73-Q73)))),0)</f>
        <v>39.39881183437501</v>
      </c>
      <c r="I73" s="6">
        <f>=Capacidad!$E$73</f>
        <v>39.39881183437501</v>
      </c>
      <c r="J73" s="6">
        <f>=(I73*12)</f>
        <v>472.7857420125001</v>
      </c>
      <c r="K73" s="6">
        <f>=(F73*((1+Parametros!$C$8)^MAX(0,($A73-1))))</f>
        <v>157.91181350830084</v>
      </c>
      <c r="L73" s="6">
        <f>=(G73*J73)</f>
        <v>232586.73121867154</v>
      </c>
      <c r="M73" s="6">
        <f>=(K73*J73)</f>
        <v>74658.45392206156</v>
      </c>
      <c r="N73" s="6">
        <f>=(L73-M73)</f>
        <v>157928.27729661</v>
      </c>
      <c r="O73" s="19">
        <v>90</v>
      </c>
      <c r="P73" s="23">
        <f>=Capacidad!$F$73</f>
        <v>0.43200451572779613</v>
      </c>
      <c r="Q73" s="19">
        <v>1</v>
      </c>
      <c r="R73" s="19">
        <v>0</v>
      </c>
      <c r="S73" s="19">
        <v>0</v>
      </c>
      <c r="T73" s="19">
        <v>1</v>
      </c>
      <c r="U73" s="19">
        <v>1</v>
      </c>
      <c r="V73" s="25" t="str">
        <f>=IF(I73&lt;H73-0.000001,"LIMITADA","")</f>
        <v/>
      </c>
    </row>
    <row r="74">
      <c r="A74" s="19">
        <v>8</v>
      </c>
      <c r="B74" s="19" t="str">
        <v>Ortodoncia</v>
      </c>
      <c r="C74" s="16">
        <v>1200</v>
      </c>
      <c r="D74" s="26">
        <v>9</v>
      </c>
      <c r="E74" s="26">
        <v>0</v>
      </c>
      <c r="F74" s="16">
        <v>300</v>
      </c>
      <c r="G74" s="6">
        <f>=(C74*((1+Parametros!$C$10)^MAX(0,($A74-1))))</f>
        <v>1475.848638509844</v>
      </c>
      <c r="H74" s="6">
        <f>=IF(($A74&gt;=Q74),(D74*((1+Parametros!$C$11)^MAX(0,($A74-Q74)))),0)</f>
        <v>12.663903803906251</v>
      </c>
      <c r="I74" s="6">
        <f>=Capacidad!$E$74</f>
        <v>12.663903803906251</v>
      </c>
      <c r="J74" s="6">
        <f>=(I74*12)</f>
        <v>151.96684564687502</v>
      </c>
      <c r="K74" s="6">
        <f>=(F74*((1+Parametros!$C$8)^MAX(0,($A74-1))))</f>
        <v>394.7795337707521</v>
      </c>
      <c r="L74" s="6">
        <f>=(G74*J74)</f>
        <v>224280.0622465761</v>
      </c>
      <c r="M74" s="6">
        <f>=(K74*J74)</f>
        <v>59993.40047308517</v>
      </c>
      <c r="N74" s="6">
        <f>=(L74-M74)</f>
        <v>164286.66177349092</v>
      </c>
      <c r="O74" s="19">
        <v>90</v>
      </c>
      <c r="P74" s="23">
        <f>=Capacidad!$F$74</f>
        <v>0.014877706536544001</v>
      </c>
      <c r="Q74" s="19">
        <v>1</v>
      </c>
      <c r="R74" s="19">
        <v>1</v>
      </c>
      <c r="S74" s="19">
        <v>0</v>
      </c>
      <c r="T74" s="19">
        <v>0</v>
      </c>
      <c r="U74" s="19">
        <v>1</v>
      </c>
      <c r="V74" s="25" t="str">
        <f>=IF(I74&lt;H74-0.000001,"LIMITADA","")</f>
        <v/>
      </c>
    </row>
    <row r="75">
      <c r="A75" s="19">
        <v>8</v>
      </c>
      <c r="B75" s="19" t="str">
        <v>Imagenología dental</v>
      </c>
      <c r="C75" s="16">
        <v>45</v>
      </c>
      <c r="D75" s="26">
        <v>130</v>
      </c>
      <c r="E75" s="26">
        <v>0</v>
      </c>
      <c r="F75" s="16">
        <v>8</v>
      </c>
      <c r="G75" s="6">
        <f>=(C75*((1+Parametros!$C$10)^MAX(0,($A75-1))))</f>
        <v>55.34432394411915</v>
      </c>
      <c r="H75" s="6">
        <f>=IF(($A75&gt;=Q75),(D75*((1+Parametros!$C$11)^MAX(0,($A75-Q75)))),0)</f>
        <v>182.92305494531254</v>
      </c>
      <c r="I75" s="6">
        <f>=Capacidad!$E$75</f>
        <v>182.92305494531254</v>
      </c>
      <c r="J75" s="6">
        <f>=(I75*12)</f>
        <v>2195.0766593437506</v>
      </c>
      <c r="K75" s="6">
        <f>=(F75*((1+Parametros!$C$8)^MAX(0,($A75-1))))</f>
        <v>10.527454233886722</v>
      </c>
      <c r="L75" s="6">
        <f>=(G75*J75)</f>
        <v>121485.0337168954</v>
      </c>
      <c r="M75" s="6">
        <f>=(K75*J75)</f>
        <v>23108.56907111429</v>
      </c>
      <c r="N75" s="6">
        <f>=(L75-M75)</f>
        <v>98376.46464578112</v>
      </c>
      <c r="O75" s="19">
        <v>20</v>
      </c>
      <c r="P75" s="23">
        <f>=Capacidad!$F$75</f>
        <v>0.2352405541992188</v>
      </c>
      <c r="Q75" s="19">
        <v>1</v>
      </c>
      <c r="R75" s="19">
        <v>0</v>
      </c>
      <c r="S75" s="19">
        <v>1</v>
      </c>
      <c r="T75" s="19">
        <v>0</v>
      </c>
      <c r="U75" s="19">
        <v>1</v>
      </c>
      <c r="V75" s="25" t="str">
        <f>=IF(I75&lt;H75-0.000001,"LIMITADA","")</f>
        <v/>
      </c>
    </row>
    <row r="76">
      <c r="A76" s="19">
        <v>9</v>
      </c>
      <c r="B76" s="19" t="str">
        <v>Consulta estomatológica</v>
      </c>
      <c r="C76" s="16">
        <v>25</v>
      </c>
      <c r="D76" s="26">
        <v>400</v>
      </c>
      <c r="E76" s="26">
        <v>0</v>
      </c>
      <c r="F76" s="16">
        <v>6</v>
      </c>
      <c r="G76" s="6">
        <f>=(C76*((1+Parametros!$C$10)^MAX(0,($A76-1))))</f>
        <v>31.6692520346904</v>
      </c>
      <c r="H76" s="6">
        <f>=IF(($A76&gt;=Q76),(D76*((1+Parametros!$C$11)^MAX(0,($A76-Q76)))),0)</f>
        <v>590.982177515625</v>
      </c>
      <c r="I76" s="6">
        <f>=Capacidad!$E$76</f>
        <v>590.982177515625</v>
      </c>
      <c r="J76" s="6">
        <f>=(I76*12)</f>
        <v>7091.7861301875</v>
      </c>
      <c r="K76" s="6">
        <f>=(F76*((1+Parametros!$C$8)^MAX(0,($A76-1))))</f>
        <v>8.211414302431645</v>
      </c>
      <c r="L76" s="6">
        <f>=(G76*J76)</f>
        <v>224591.56233302964</v>
      </c>
      <c r="M76" s="6">
        <f>=(K76*J76)</f>
        <v>58233.59405920801</v>
      </c>
      <c r="N76" s="6">
        <f>=(L76-M76)</f>
        <v>166357.96827382164</v>
      </c>
      <c r="O76" s="19">
        <v>30</v>
      </c>
      <c r="P76" s="23">
        <f>=Capacidad!$F$76</f>
        <v>0.23143099056846222</v>
      </c>
      <c r="Q76" s="19">
        <v>1</v>
      </c>
      <c r="R76" s="19">
        <v>1</v>
      </c>
      <c r="S76" s="19">
        <v>0</v>
      </c>
      <c r="T76" s="19">
        <v>0</v>
      </c>
      <c r="U76" s="19">
        <v>1</v>
      </c>
      <c r="V76" s="25" t="str">
        <f>=IF(I76&lt;H76-0.000001,"LIMITADA","")</f>
        <v/>
      </c>
    </row>
    <row r="77">
      <c r="A77" s="19">
        <v>9</v>
      </c>
      <c r="B77" s="19" t="str">
        <v>Odontología preventiva (profilaxis y sellado)</v>
      </c>
      <c r="C77" s="16">
        <v>35</v>
      </c>
      <c r="D77" s="26">
        <v>160</v>
      </c>
      <c r="E77" s="26">
        <v>0</v>
      </c>
      <c r="F77" s="16">
        <v>10</v>
      </c>
      <c r="G77" s="6">
        <f>=(C77*((1+Parametros!$C$10)^MAX(0,($A77-1))))</f>
        <v>44.336952848566554</v>
      </c>
      <c r="H77" s="6">
        <f>=IF(($A77&gt;=Q77),(D77*((1+Parametros!$C$11)^MAX(0,($A77-Q77)))),0)</f>
        <v>236.39287100625</v>
      </c>
      <c r="I77" s="6">
        <f>=Capacidad!$E$77</f>
        <v>236.39287100625</v>
      </c>
      <c r="J77" s="6">
        <f>=(I77*12)</f>
        <v>2836.714452075</v>
      </c>
      <c r="K77" s="6">
        <f>=(F77*((1+Parametros!$C$8)^MAX(0,($A77-1))))</f>
        <v>13.68569050405274</v>
      </c>
      <c r="L77" s="6">
        <f>=(G77*J77)</f>
        <v>125771.27490649658</v>
      </c>
      <c r="M77" s="6">
        <f>=(K77*J77)</f>
        <v>38822.396039472</v>
      </c>
      <c r="N77" s="6">
        <f>=(L77-M77)</f>
        <v>86948.87886702458</v>
      </c>
      <c r="O77" s="19">
        <v>40</v>
      </c>
      <c r="P77" s="23">
        <f>=Capacidad!$F$77</f>
        <v>0.12342986163651319</v>
      </c>
      <c r="Q77" s="19">
        <v>1</v>
      </c>
      <c r="R77" s="19">
        <v>1</v>
      </c>
      <c r="S77" s="19">
        <v>0</v>
      </c>
      <c r="T77" s="19">
        <v>0</v>
      </c>
      <c r="U77" s="19">
        <v>1</v>
      </c>
      <c r="V77" s="25" t="str">
        <f>=IF(I77&lt;H77-0.000001,"LIMITADA","")</f>
        <v/>
      </c>
    </row>
    <row r="78">
      <c r="A78" s="19">
        <v>9</v>
      </c>
      <c r="B78" s="19" t="str">
        <v>Restauraciones (obturaciones)</v>
      </c>
      <c r="C78" s="16">
        <v>60</v>
      </c>
      <c r="D78" s="26">
        <v>220</v>
      </c>
      <c r="E78" s="26">
        <v>0</v>
      </c>
      <c r="F78" s="16">
        <v>18</v>
      </c>
      <c r="G78" s="6">
        <f>=(C78*((1+Parametros!$C$10)^MAX(0,($A78-1))))</f>
        <v>76.00620488325696</v>
      </c>
      <c r="H78" s="6">
        <f>=IF(($A78&gt;=Q78),(D78*((1+Parametros!$C$11)^MAX(0,($A78-Q78)))),0)</f>
        <v>325.0401976335938</v>
      </c>
      <c r="I78" s="6">
        <f>=Capacidad!$E$78</f>
        <v>325.0401976335938</v>
      </c>
      <c r="J78" s="6">
        <f>=(I78*12)</f>
        <v>3900.482371603125</v>
      </c>
      <c r="K78" s="6">
        <f>=(F78*((1+Parametros!$C$8)^MAX(0,($A78-1))))</f>
        <v>24.634242907294933</v>
      </c>
      <c r="L78" s="6">
        <f>=(G78*J78)</f>
        <v>296460.8622795991</v>
      </c>
      <c r="M78" s="6">
        <f>=(K78*J78)</f>
        <v>96085.4301976932</v>
      </c>
      <c r="N78" s="6">
        <f>=(L78-M78)</f>
        <v>200375.43208190592</v>
      </c>
      <c r="O78" s="19">
        <v>45</v>
      </c>
      <c r="P78" s="23">
        <f>=Capacidad!$F$78</f>
        <v>0.19093056721898136</v>
      </c>
      <c r="Q78" s="19">
        <v>1</v>
      </c>
      <c r="R78" s="19">
        <v>1</v>
      </c>
      <c r="S78" s="19">
        <v>0</v>
      </c>
      <c r="T78" s="19">
        <v>0</v>
      </c>
      <c r="U78" s="19">
        <v>1</v>
      </c>
      <c r="V78" s="25" t="str">
        <f>=IF(I78&lt;H78-0.000001,"LIMITADA","")</f>
        <v/>
      </c>
    </row>
    <row r="79">
      <c r="A79" s="19">
        <v>9</v>
      </c>
      <c r="B79" s="19" t="str">
        <v>Endodoncia</v>
      </c>
      <c r="C79" s="16">
        <v>150</v>
      </c>
      <c r="D79" s="26">
        <v>70</v>
      </c>
      <c r="E79" s="26">
        <v>0</v>
      </c>
      <c r="F79" s="16">
        <v>40</v>
      </c>
      <c r="G79" s="6">
        <f>=(C79*((1+Parametros!$C$10)^MAX(0,($A79-1))))</f>
        <v>190.01551220814238</v>
      </c>
      <c r="H79" s="6">
        <f>=IF(($A79&gt;=Q79),(D79*((1+Parametros!$C$11)^MAX(0,($A79-Q79)))),0)</f>
        <v>103.42188106523437</v>
      </c>
      <c r="I79" s="6">
        <f>=Capacidad!$E$79</f>
        <v>103.42188106523437</v>
      </c>
      <c r="J79" s="6">
        <f>=(I79*12)</f>
        <v>1241.0625727828124</v>
      </c>
      <c r="K79" s="6">
        <f>=(F79*((1+Parametros!$C$8)^MAX(0,($A79-1))))</f>
        <v>54.74276201621096</v>
      </c>
      <c r="L79" s="6">
        <f>=(G79*J79)</f>
        <v>235821.1404496811</v>
      </c>
      <c r="M79" s="6">
        <f>=(K79*J79)</f>
        <v>67939.19306907599</v>
      </c>
      <c r="N79" s="6">
        <f>=(L79-M79)</f>
        <v>167881.9473806051</v>
      </c>
      <c r="O79" s="19">
        <v>60</v>
      </c>
      <c r="P79" s="23">
        <f>=Capacidad!$F$79</f>
        <v>0.08100084669896178</v>
      </c>
      <c r="Q79" s="19">
        <v>1</v>
      </c>
      <c r="R79" s="19">
        <v>1</v>
      </c>
      <c r="S79" s="19">
        <v>0</v>
      </c>
      <c r="T79" s="19">
        <v>0</v>
      </c>
      <c r="U79" s="19">
        <v>1</v>
      </c>
      <c r="V79" s="25" t="str">
        <f>=IF(I79&lt;H79-0.000001,"LIMITADA","")</f>
        <v/>
      </c>
    </row>
    <row r="80">
      <c r="A80" s="19">
        <v>9</v>
      </c>
      <c r="B80" s="19" t="str">
        <v>Periodoncia</v>
      </c>
      <c r="C80" s="16">
        <v>120</v>
      </c>
      <c r="D80" s="26">
        <v>60</v>
      </c>
      <c r="E80" s="26">
        <v>0</v>
      </c>
      <c r="F80" s="16">
        <v>30</v>
      </c>
      <c r="G80" s="6">
        <f>=(C80*((1+Parametros!$C$10)^MAX(0,($A80-1))))</f>
        <v>152.0124097665139</v>
      </c>
      <c r="H80" s="6">
        <f>=IF(($A80&gt;=Q80),(D80*((1+Parametros!$C$11)^MAX(0,($A80-Q80)))),0)</f>
        <v>88.64732662734376</v>
      </c>
      <c r="I80" s="6">
        <f>=Capacidad!$E$80</f>
        <v>88.64732662734376</v>
      </c>
      <c r="J80" s="6">
        <f>=(I80*12)</f>
        <v>1063.767919528125</v>
      </c>
      <c r="K80" s="6">
        <f>=(F80*((1+Parametros!$C$8)^MAX(0,($A80-1))))</f>
        <v>41.057071512158224</v>
      </c>
      <c r="L80" s="6">
        <f>=(G80*J80)</f>
        <v>161705.92487978135</v>
      </c>
      <c r="M80" s="6">
        <f>=(K80*J80)</f>
        <v>43675.19554440601</v>
      </c>
      <c r="N80" s="6">
        <f>=(L80-M80)</f>
        <v>118030.72933537533</v>
      </c>
      <c r="O80" s="19">
        <v>50</v>
      </c>
      <c r="P80" s="23">
        <f>=Capacidad!$F$80</f>
        <v>0.05785774764211556</v>
      </c>
      <c r="Q80" s="19">
        <v>1</v>
      </c>
      <c r="R80" s="19">
        <v>1</v>
      </c>
      <c r="S80" s="19">
        <v>0</v>
      </c>
      <c r="T80" s="19">
        <v>0</v>
      </c>
      <c r="U80" s="19">
        <v>1</v>
      </c>
      <c r="V80" s="25" t="str">
        <f>=IF(I80&lt;H80-0.000001,"LIMITADA","")</f>
        <v/>
      </c>
    </row>
    <row r="81">
      <c r="A81" s="19">
        <v>9</v>
      </c>
      <c r="B81" s="19" t="str">
        <v>Cirugía oral</v>
      </c>
      <c r="C81" s="16">
        <v>180</v>
      </c>
      <c r="D81" s="26">
        <v>35</v>
      </c>
      <c r="E81" s="26">
        <v>0</v>
      </c>
      <c r="F81" s="16">
        <v>45</v>
      </c>
      <c r="G81" s="6">
        <f>=(C81*((1+Parametros!$C$10)^MAX(0,($A81-1))))</f>
        <v>228.01861464977088</v>
      </c>
      <c r="H81" s="6">
        <f>=IF(($A81&gt;=Q81),(D81*((1+Parametros!$C$11)^MAX(0,($A81-Q81)))),0)</f>
        <v>51.71094053261719</v>
      </c>
      <c r="I81" s="6">
        <f>=Capacidad!$E$81</f>
        <v>51.71094053261719</v>
      </c>
      <c r="J81" s="6">
        <f>=(I81*12)</f>
        <v>620.5312863914062</v>
      </c>
      <c r="K81" s="6">
        <f>=(F81*((1+Parametros!$C$8)^MAX(0,($A81-1))))</f>
        <v>61.58560726823733</v>
      </c>
      <c r="L81" s="6">
        <f>=(G81*J81)</f>
        <v>141492.68426980867</v>
      </c>
      <c r="M81" s="6">
        <f>=(K81*J81)</f>
        <v>38215.79610135525</v>
      </c>
      <c r="N81" s="6">
        <f>=(L81-M81)</f>
        <v>103276.88816845341</v>
      </c>
      <c r="O81" s="19">
        <v>60</v>
      </c>
      <c r="P81" s="23">
        <f>=Capacidad!$F$81</f>
        <v>0.04050042334948089</v>
      </c>
      <c r="Q81" s="19">
        <v>1</v>
      </c>
      <c r="R81" s="19">
        <v>1</v>
      </c>
      <c r="S81" s="19">
        <v>0</v>
      </c>
      <c r="T81" s="19">
        <v>0</v>
      </c>
      <c r="U81" s="19">
        <v>1</v>
      </c>
      <c r="V81" s="25" t="str">
        <f>=IF(I81&lt;H81-0.000001,"LIMITADA","")</f>
        <v/>
      </c>
    </row>
    <row r="82">
      <c r="A82" s="19">
        <v>9</v>
      </c>
      <c r="B82" s="19" t="str">
        <v>Prótesis estomatológica</v>
      </c>
      <c r="C82" s="16">
        <v>400</v>
      </c>
      <c r="D82" s="26">
        <v>28</v>
      </c>
      <c r="E82" s="26">
        <v>0</v>
      </c>
      <c r="F82" s="16">
        <v>120</v>
      </c>
      <c r="G82" s="6">
        <f>=(C82*((1+Parametros!$C$10)^MAX(0,($A82-1))))</f>
        <v>506.7080325550464</v>
      </c>
      <c r="H82" s="6">
        <f>=IF(($A82&gt;=Q82),(D82*((1+Parametros!$C$11)^MAX(0,($A82-Q82)))),0)</f>
        <v>41.36875242609375</v>
      </c>
      <c r="I82" s="6">
        <f>=Capacidad!$E$82</f>
        <v>41.36875242609375</v>
      </c>
      <c r="J82" s="6">
        <f>=(I82*12)</f>
        <v>496.425029113125</v>
      </c>
      <c r="K82" s="6">
        <f>=(F82*((1+Parametros!$C$8)^MAX(0,($A82-1))))</f>
        <v>164.2282860486329</v>
      </c>
      <c r="L82" s="6">
        <f>=(G82*J82)</f>
        <v>251542.54981299318</v>
      </c>
      <c r="M82" s="6">
        <f>=(K82*J82)</f>
        <v>81527.0316828912</v>
      </c>
      <c r="N82" s="6">
        <f>=(L82-M82)</f>
        <v>170015.51813010196</v>
      </c>
      <c r="O82" s="19">
        <v>90</v>
      </c>
      <c r="P82" s="23">
        <f>=Capacidad!$F$82</f>
        <v>0.45360474151418584</v>
      </c>
      <c r="Q82" s="19">
        <v>1</v>
      </c>
      <c r="R82" s="19">
        <v>0</v>
      </c>
      <c r="S82" s="19">
        <v>0</v>
      </c>
      <c r="T82" s="19">
        <v>1</v>
      </c>
      <c r="U82" s="19">
        <v>1</v>
      </c>
      <c r="V82" s="25" t="str">
        <f>=IF(I82&lt;H82-0.000001,"LIMITADA","")</f>
        <v/>
      </c>
    </row>
    <row r="83">
      <c r="A83" s="19">
        <v>9</v>
      </c>
      <c r="B83" s="19" t="str">
        <v>Ortodoncia</v>
      </c>
      <c r="C83" s="16">
        <v>1200</v>
      </c>
      <c r="D83" s="26">
        <v>9</v>
      </c>
      <c r="E83" s="26">
        <v>0</v>
      </c>
      <c r="F83" s="16">
        <v>300</v>
      </c>
      <c r="G83" s="6">
        <f>=(C83*((1+Parametros!$C$10)^MAX(0,($A83-1))))</f>
        <v>1520.124097665139</v>
      </c>
      <c r="H83" s="6">
        <f>=IF(($A83&gt;=Q83),(D83*((1+Parametros!$C$11)^MAX(0,($A83-Q83)))),0)</f>
        <v>13.297098994101564</v>
      </c>
      <c r="I83" s="6">
        <f>=Capacidad!$E$83</f>
        <v>13.297098994101564</v>
      </c>
      <c r="J83" s="6">
        <f>=(I83*12)</f>
        <v>159.56518792921878</v>
      </c>
      <c r="K83" s="6">
        <f>=(F83*((1+Parametros!$C$8)^MAX(0,($A83-1))))</f>
        <v>410.5707151215822</v>
      </c>
      <c r="L83" s="6">
        <f>=(G83*J83)</f>
        <v>242558.88731967204</v>
      </c>
      <c r="M83" s="6">
        <f>=(K83*J83)</f>
        <v>65512.793316609015</v>
      </c>
      <c r="N83" s="6">
        <f>=(L83-M83)</f>
        <v>177046.09400306302</v>
      </c>
      <c r="O83" s="19">
        <v>90</v>
      </c>
      <c r="P83" s="23">
        <f>=Capacidad!$F$83</f>
        <v>0.015621591863371202</v>
      </c>
      <c r="Q83" s="19">
        <v>1</v>
      </c>
      <c r="R83" s="19">
        <v>1</v>
      </c>
      <c r="S83" s="19">
        <v>0</v>
      </c>
      <c r="T83" s="19">
        <v>0</v>
      </c>
      <c r="U83" s="19">
        <v>1</v>
      </c>
      <c r="V83" s="25" t="str">
        <f>=IF(I83&lt;H83-0.000001,"LIMITADA","")</f>
        <v/>
      </c>
    </row>
    <row r="84">
      <c r="A84" s="19">
        <v>9</v>
      </c>
      <c r="B84" s="19" t="str">
        <v>Imagenología dental</v>
      </c>
      <c r="C84" s="16">
        <v>45</v>
      </c>
      <c r="D84" s="26">
        <v>130</v>
      </c>
      <c r="E84" s="26">
        <v>0</v>
      </c>
      <c r="F84" s="16">
        <v>8</v>
      </c>
      <c r="G84" s="6">
        <f>=(C84*((1+Parametros!$C$10)^MAX(0,($A84-1))))</f>
        <v>57.00465366244272</v>
      </c>
      <c r="H84" s="6">
        <f>=IF(($A84&gt;=Q84),(D84*((1+Parametros!$C$11)^MAX(0,($A84-Q84)))),0)</f>
        <v>192.06920769257815</v>
      </c>
      <c r="I84" s="6">
        <f>=Capacidad!$E$84</f>
        <v>192.06920769257815</v>
      </c>
      <c r="J84" s="6">
        <f>=(I84*12)</f>
        <v>2304.8304923109376</v>
      </c>
      <c r="K84" s="6">
        <f>=(F84*((1+Parametros!$C$8)^MAX(0,($A84-1))))</f>
        <v>10.948552403242193</v>
      </c>
      <c r="L84" s="6">
        <f>=(G84*J84)</f>
        <v>131386.06396482236</v>
      </c>
      <c r="M84" s="6">
        <f>=(K84*J84)</f>
        <v>25234.557425656803</v>
      </c>
      <c r="N84" s="6">
        <f>=(L84-M84)</f>
        <v>106151.50653916555</v>
      </c>
      <c r="O84" s="19">
        <v>20</v>
      </c>
      <c r="P84" s="23">
        <f>=Capacidad!$F$84</f>
        <v>0.2470025819091797</v>
      </c>
      <c r="Q84" s="19">
        <v>1</v>
      </c>
      <c r="R84" s="19">
        <v>0</v>
      </c>
      <c r="S84" s="19">
        <v>1</v>
      </c>
      <c r="T84" s="19">
        <v>0</v>
      </c>
      <c r="U84" s="19">
        <v>1</v>
      </c>
      <c r="V84" s="25" t="str">
        <f>=IF(I84&lt;H84-0.000001,"LIMITADA","")</f>
        <v/>
      </c>
    </row>
    <row r="85">
      <c r="A85" s="19">
        <v>10</v>
      </c>
      <c r="B85" s="19" t="str">
        <v>Consulta estomatológica</v>
      </c>
      <c r="C85" s="16">
        <v>25</v>
      </c>
      <c r="D85" s="26">
        <v>400</v>
      </c>
      <c r="E85" s="26">
        <v>0</v>
      </c>
      <c r="F85" s="16">
        <v>6</v>
      </c>
      <c r="G85" s="6">
        <f>=(C85*((1+Parametros!$C$10)^MAX(0,($A85-1))))</f>
        <v>32.61932959573111</v>
      </c>
      <c r="H85" s="6">
        <f>=IF(($A85&gt;=Q85),(D85*((1+Parametros!$C$11)^MAX(0,($A85-Q85)))),0)</f>
        <v>620.5312863914063</v>
      </c>
      <c r="I85" s="6">
        <f>=Capacidad!$E$85</f>
        <v>620.5312863914063</v>
      </c>
      <c r="J85" s="6">
        <f>=(I85*12)</f>
        <v>7446.375436696875</v>
      </c>
      <c r="K85" s="6">
        <f>=(F85*((1+Parametros!$C$8)^MAX(0,($A85-1))))</f>
        <v>8.539870874528912</v>
      </c>
      <c r="L85" s="6">
        <f>=(G85*J85)</f>
        <v>242895.77466317156</v>
      </c>
      <c r="M85" s="6">
        <f>=(K85*J85)</f>
        <v>63591.08471265515</v>
      </c>
      <c r="N85" s="6">
        <f>=(L85-M85)</f>
        <v>179304.6899505164</v>
      </c>
      <c r="O85" s="19">
        <v>30</v>
      </c>
      <c r="P85" s="23">
        <f>=Capacidad!$F$85</f>
        <v>0.24300254009688535</v>
      </c>
      <c r="Q85" s="19">
        <v>1</v>
      </c>
      <c r="R85" s="19">
        <v>1</v>
      </c>
      <c r="S85" s="19">
        <v>0</v>
      </c>
      <c r="T85" s="19">
        <v>0</v>
      </c>
      <c r="U85" s="19">
        <v>1</v>
      </c>
      <c r="V85" s="25" t="str">
        <f>=IF(I85&lt;H85-0.000001,"LIMITADA","")</f>
        <v/>
      </c>
    </row>
    <row r="86">
      <c r="A86" s="19">
        <v>10</v>
      </c>
      <c r="B86" s="19" t="str">
        <v>Odontología preventiva (profilaxis y sellado)</v>
      </c>
      <c r="C86" s="16">
        <v>35</v>
      </c>
      <c r="D86" s="26">
        <v>160</v>
      </c>
      <c r="E86" s="26">
        <v>0</v>
      </c>
      <c r="F86" s="16">
        <v>10</v>
      </c>
      <c r="G86" s="6">
        <f>=(C86*((1+Parametros!$C$10)^MAX(0,($A86-1))))</f>
        <v>45.66706143402356</v>
      </c>
      <c r="H86" s="6">
        <f>=IF(($A86&gt;=Q86),(D86*((1+Parametros!$C$11)^MAX(0,($A86-Q86)))),0)</f>
        <v>248.21251455656252</v>
      </c>
      <c r="I86" s="6">
        <f>=Capacidad!$E$86</f>
        <v>248.21251455656252</v>
      </c>
      <c r="J86" s="6">
        <f>=(I86*12)</f>
        <v>2978.5501746787504</v>
      </c>
      <c r="K86" s="6">
        <f>=(F86*((1+Parametros!$C$8)^MAX(0,($A86-1))))</f>
        <v>14.233118124214851</v>
      </c>
      <c r="L86" s="6">
        <f>=(G86*J86)</f>
        <v>136021.6338113761</v>
      </c>
      <c r="M86" s="6">
        <f>=(K86*J86)</f>
        <v>42394.05647510343</v>
      </c>
      <c r="N86" s="6">
        <f>=(L86-M86)</f>
        <v>93627.57733627266</v>
      </c>
      <c r="O86" s="19">
        <v>40</v>
      </c>
      <c r="P86" s="23">
        <f>=Capacidad!$F$86</f>
        <v>0.12960135471833886</v>
      </c>
      <c r="Q86" s="19">
        <v>1</v>
      </c>
      <c r="R86" s="19">
        <v>1</v>
      </c>
      <c r="S86" s="19">
        <v>0</v>
      </c>
      <c r="T86" s="19">
        <v>0</v>
      </c>
      <c r="U86" s="19">
        <v>1</v>
      </c>
      <c r="V86" s="25" t="str">
        <f>=IF(I86&lt;H86-0.000001,"LIMITADA","")</f>
        <v/>
      </c>
    </row>
    <row r="87">
      <c r="A87" s="19">
        <v>10</v>
      </c>
      <c r="B87" s="19" t="str">
        <v>Restauraciones (obturaciones)</v>
      </c>
      <c r="C87" s="16">
        <v>60</v>
      </c>
      <c r="D87" s="26">
        <v>220</v>
      </c>
      <c r="E87" s="26">
        <v>0</v>
      </c>
      <c r="F87" s="16">
        <v>18</v>
      </c>
      <c r="G87" s="6">
        <f>=(C87*((1+Parametros!$C$10)^MAX(0,($A87-1))))</f>
        <v>78.28639102975467</v>
      </c>
      <c r="H87" s="6">
        <f>=IF(($A87&gt;=Q87),(D87*((1+Parametros!$C$11)^MAX(0,($A87-Q87)))),0)</f>
        <v>341.29220751527345</v>
      </c>
      <c r="I87" s="6">
        <f>=Capacidad!$E$87</f>
        <v>341.29220751527345</v>
      </c>
      <c r="J87" s="6">
        <f>=(I87*12)</f>
        <v>4095.506490183281</v>
      </c>
      <c r="K87" s="6">
        <f>=(F87*((1+Parametros!$C$8)^MAX(0,($A87-1))))</f>
        <v>25.619612623586733</v>
      </c>
      <c r="L87" s="6">
        <f>=(G87*J87)</f>
        <v>320622.42255538644</v>
      </c>
      <c r="M87" s="6">
        <f>=(K87*J87)</f>
        <v>104925.28977588098</v>
      </c>
      <c r="N87" s="6">
        <f>=(L87-M87)</f>
        <v>215697.13277950545</v>
      </c>
      <c r="O87" s="19">
        <v>45</v>
      </c>
      <c r="P87" s="23">
        <f>=Capacidad!$F$87</f>
        <v>0.2004770955799304</v>
      </c>
      <c r="Q87" s="19">
        <v>1</v>
      </c>
      <c r="R87" s="19">
        <v>1</v>
      </c>
      <c r="S87" s="19">
        <v>0</v>
      </c>
      <c r="T87" s="19">
        <v>0</v>
      </c>
      <c r="U87" s="19">
        <v>1</v>
      </c>
      <c r="V87" s="25" t="str">
        <f>=IF(I87&lt;H87-0.000001,"LIMITADA","")</f>
        <v/>
      </c>
    </row>
    <row r="88">
      <c r="A88" s="19">
        <v>10</v>
      </c>
      <c r="B88" s="19" t="str">
        <v>Endodoncia</v>
      </c>
      <c r="C88" s="16">
        <v>150</v>
      </c>
      <c r="D88" s="26">
        <v>70</v>
      </c>
      <c r="E88" s="26">
        <v>0</v>
      </c>
      <c r="F88" s="16">
        <v>40</v>
      </c>
      <c r="G88" s="6">
        <f>=(C88*((1+Parametros!$C$10)^MAX(0,($A88-1))))</f>
        <v>195.71597757438667</v>
      </c>
      <c r="H88" s="6">
        <f>=IF(($A88&gt;=Q88),(D88*((1+Parametros!$C$11)^MAX(0,($A88-Q88)))),0)</f>
        <v>108.5929751184961</v>
      </c>
      <c r="I88" s="6">
        <f>=Capacidad!$E$88</f>
        <v>108.5929751184961</v>
      </c>
      <c r="J88" s="6">
        <f>=(I88*12)</f>
        <v>1303.1157014219532</v>
      </c>
      <c r="K88" s="6">
        <f>=(F88*((1+Parametros!$C$8)^MAX(0,($A88-1))))</f>
        <v>56.932472496859404</v>
      </c>
      <c r="L88" s="6">
        <f>=(G88*J88)</f>
        <v>255040.56339633014</v>
      </c>
      <c r="M88" s="6">
        <f>=(K88*J88)</f>
        <v>74189.598831431</v>
      </c>
      <c r="N88" s="6">
        <f>=(L88-M88)</f>
        <v>180850.96456489916</v>
      </c>
      <c r="O88" s="19">
        <v>60</v>
      </c>
      <c r="P88" s="23">
        <f>=Capacidad!$F$88</f>
        <v>0.08505088903390987</v>
      </c>
      <c r="Q88" s="19">
        <v>1</v>
      </c>
      <c r="R88" s="19">
        <v>1</v>
      </c>
      <c r="S88" s="19">
        <v>0</v>
      </c>
      <c r="T88" s="19">
        <v>0</v>
      </c>
      <c r="U88" s="19">
        <v>1</v>
      </c>
      <c r="V88" s="25" t="str">
        <f>=IF(I88&lt;H88-0.000001,"LIMITADA","")</f>
        <v/>
      </c>
    </row>
    <row r="89">
      <c r="A89" s="19">
        <v>10</v>
      </c>
      <c r="B89" s="19" t="str">
        <v>Periodoncia</v>
      </c>
      <c r="C89" s="16">
        <v>120</v>
      </c>
      <c r="D89" s="26">
        <v>60</v>
      </c>
      <c r="E89" s="26">
        <v>0</v>
      </c>
      <c r="F89" s="16">
        <v>30</v>
      </c>
      <c r="G89" s="6">
        <f>=(C89*((1+Parametros!$C$10)^MAX(0,($A89-1))))</f>
        <v>156.57278205950934</v>
      </c>
      <c r="H89" s="6">
        <f>=IF(($A89&gt;=Q89),(D89*((1+Parametros!$C$11)^MAX(0,($A89-Q89)))),0)</f>
        <v>93.07969295871095</v>
      </c>
      <c r="I89" s="6">
        <f>=Capacidad!$E$89</f>
        <v>93.07969295871095</v>
      </c>
      <c r="J89" s="6">
        <f>=(I89*12)</f>
        <v>1116.9563155045314</v>
      </c>
      <c r="K89" s="6">
        <f>=(F89*((1+Parametros!$C$8)^MAX(0,($A89-1))))</f>
        <v>42.69935437264456</v>
      </c>
      <c r="L89" s="6">
        <f>=(G89*J89)</f>
        <v>174884.95775748356</v>
      </c>
      <c r="M89" s="6">
        <f>=(K89*J89)</f>
        <v>47693.31353449137</v>
      </c>
      <c r="N89" s="6">
        <f>=(L89-M89)</f>
        <v>127191.64422299218</v>
      </c>
      <c r="O89" s="19">
        <v>50</v>
      </c>
      <c r="P89" s="23">
        <f>=Capacidad!$F$89</f>
        <v>0.060750635024221344</v>
      </c>
      <c r="Q89" s="19">
        <v>1</v>
      </c>
      <c r="R89" s="19">
        <v>1</v>
      </c>
      <c r="S89" s="19">
        <v>0</v>
      </c>
      <c r="T89" s="19">
        <v>0</v>
      </c>
      <c r="U89" s="19">
        <v>1</v>
      </c>
      <c r="V89" s="25" t="str">
        <f>=IF(I89&lt;H89-0.000001,"LIMITADA","")</f>
        <v/>
      </c>
    </row>
    <row r="90">
      <c r="A90" s="19">
        <v>10</v>
      </c>
      <c r="B90" s="19" t="str">
        <v>Cirugía oral</v>
      </c>
      <c r="C90" s="16">
        <v>180</v>
      </c>
      <c r="D90" s="26">
        <v>35</v>
      </c>
      <c r="E90" s="26">
        <v>0</v>
      </c>
      <c r="F90" s="16">
        <v>45</v>
      </c>
      <c r="G90" s="6">
        <f>=(C90*((1+Parametros!$C$10)^MAX(0,($A90-1))))</f>
        <v>234.859173089264</v>
      </c>
      <c r="H90" s="6">
        <f>=IF(($A90&gt;=Q90),(D90*((1+Parametros!$C$11)^MAX(0,($A90-Q90)))),0)</f>
        <v>54.29648755924805</v>
      </c>
      <c r="I90" s="6">
        <f>=Capacidad!$E$90</f>
        <v>54.29648755924805</v>
      </c>
      <c r="J90" s="6">
        <f>=(I90*12)</f>
        <v>651.5578507109766</v>
      </c>
      <c r="K90" s="6">
        <f>=(F90*((1+Parametros!$C$8)^MAX(0,($A90-1))))</f>
        <v>64.04903155896683</v>
      </c>
      <c r="L90" s="6">
        <f>=(G90*J90)</f>
        <v>153024.3380377981</v>
      </c>
      <c r="M90" s="6">
        <f>=(K90*J90)</f>
        <v>41731.64934267994</v>
      </c>
      <c r="N90" s="6">
        <f>=(L90-M90)</f>
        <v>111292.68869511815</v>
      </c>
      <c r="O90" s="19">
        <v>60</v>
      </c>
      <c r="P90" s="23">
        <f>=Capacidad!$F$90</f>
        <v>0.04252544451695493</v>
      </c>
      <c r="Q90" s="19">
        <v>1</v>
      </c>
      <c r="R90" s="19">
        <v>1</v>
      </c>
      <c r="S90" s="19">
        <v>0</v>
      </c>
      <c r="T90" s="19">
        <v>0</v>
      </c>
      <c r="U90" s="19">
        <v>1</v>
      </c>
      <c r="V90" s="25" t="str">
        <f>=IF(I90&lt;H90-0.000001,"LIMITADA","")</f>
        <v/>
      </c>
    </row>
    <row r="91">
      <c r="A91" s="19">
        <v>10</v>
      </c>
      <c r="B91" s="19" t="str">
        <v>Prótesis estomatológica</v>
      </c>
      <c r="C91" s="16">
        <v>400</v>
      </c>
      <c r="D91" s="26">
        <v>28</v>
      </c>
      <c r="E91" s="26">
        <v>0</v>
      </c>
      <c r="F91" s="16">
        <v>120</v>
      </c>
      <c r="G91" s="6">
        <f>=(C91*((1+Parametros!$C$10)^MAX(0,($A91-1))))</f>
        <v>521.9092735316977</v>
      </c>
      <c r="H91" s="6">
        <f>=IF(($A91&gt;=Q91),(D91*((1+Parametros!$C$11)^MAX(0,($A91-Q91)))),0)</f>
        <v>43.437190047398445</v>
      </c>
      <c r="I91" s="6">
        <f>=Capacidad!$E$91</f>
        <v>43.437190047398445</v>
      </c>
      <c r="J91" s="6">
        <f>=(I91*12)</f>
        <v>521.2462805687813</v>
      </c>
      <c r="K91" s="6">
        <f>=(F91*((1+Parametros!$C$8)^MAX(0,($A91-1))))</f>
        <v>170.79741749057823</v>
      </c>
      <c r="L91" s="6">
        <f>=(G91*J91)</f>
        <v>272043.2676227522</v>
      </c>
      <c r="M91" s="6">
        <f>=(K91*J91)</f>
        <v>89027.51859771722</v>
      </c>
      <c r="N91" s="6">
        <f>=(L91-M91)</f>
        <v>183015.74902503495</v>
      </c>
      <c r="O91" s="19">
        <v>90</v>
      </c>
      <c r="P91" s="23">
        <f>=Capacidad!$F$91</f>
        <v>0.4762849785898952</v>
      </c>
      <c r="Q91" s="19">
        <v>1</v>
      </c>
      <c r="R91" s="19">
        <v>0</v>
      </c>
      <c r="S91" s="19">
        <v>0</v>
      </c>
      <c r="T91" s="19">
        <v>1</v>
      </c>
      <c r="U91" s="19">
        <v>1</v>
      </c>
      <c r="V91" s="25" t="str">
        <f>=IF(I91&lt;H91-0.000001,"LIMITADA","")</f>
        <v/>
      </c>
    </row>
    <row r="92">
      <c r="A92" s="19">
        <v>10</v>
      </c>
      <c r="B92" s="19" t="str">
        <v>Ortodoncia</v>
      </c>
      <c r="C92" s="16">
        <v>1200</v>
      </c>
      <c r="D92" s="26">
        <v>9</v>
      </c>
      <c r="E92" s="26">
        <v>0</v>
      </c>
      <c r="F92" s="16">
        <v>300</v>
      </c>
      <c r="G92" s="6">
        <f>=(C92*((1+Parametros!$C$10)^MAX(0,($A92-1))))</f>
        <v>1565.7278205950934</v>
      </c>
      <c r="H92" s="6">
        <f>=IF(($A92&gt;=Q92),(D92*((1+Parametros!$C$11)^MAX(0,($A92-Q92)))),0)</f>
        <v>13.961953943806641</v>
      </c>
      <c r="I92" s="6">
        <f>=Capacidad!$E$92</f>
        <v>13.961953943806641</v>
      </c>
      <c r="J92" s="6">
        <f>=(I92*12)</f>
        <v>167.5434473256797</v>
      </c>
      <c r="K92" s="6">
        <f>=(F92*((1+Parametros!$C$8)^MAX(0,($A92-1))))</f>
        <v>426.9935437264456</v>
      </c>
      <c r="L92" s="6">
        <f>=(G92*J92)</f>
        <v>262327.43663622526</v>
      </c>
      <c r="M92" s="6">
        <f>=(K92*J92)</f>
        <v>71539.97030173705</v>
      </c>
      <c r="N92" s="6">
        <f>=(L92-M92)</f>
        <v>190787.4663344882</v>
      </c>
      <c r="O92" s="19">
        <v>90</v>
      </c>
      <c r="P92" s="23">
        <f>=Capacidad!$F$92</f>
        <v>0.01640267145653976</v>
      </c>
      <c r="Q92" s="19">
        <v>1</v>
      </c>
      <c r="R92" s="19">
        <v>1</v>
      </c>
      <c r="S92" s="19">
        <v>0</v>
      </c>
      <c r="T92" s="19">
        <v>0</v>
      </c>
      <c r="U92" s="19">
        <v>1</v>
      </c>
      <c r="V92" s="25" t="str">
        <f>=IF(I92&lt;H92-0.000001,"LIMITADA","")</f>
        <v/>
      </c>
    </row>
    <row r="93">
      <c r="A93" s="19">
        <v>10</v>
      </c>
      <c r="B93" s="19" t="str">
        <v>Imagenología dental</v>
      </c>
      <c r="C93" s="16">
        <v>45</v>
      </c>
      <c r="D93" s="26">
        <v>130</v>
      </c>
      <c r="E93" s="26">
        <v>0</v>
      </c>
      <c r="F93" s="16">
        <v>8</v>
      </c>
      <c r="G93" s="6">
        <f>=(C93*((1+Parametros!$C$10)^MAX(0,($A93-1))))</f>
        <v>58.714793272316</v>
      </c>
      <c r="H93" s="6">
        <f>=IF(($A93&gt;=Q93),(D93*((1+Parametros!$C$11)^MAX(0,($A93-Q93)))),0)</f>
        <v>201.67266807720705</v>
      </c>
      <c r="I93" s="6">
        <f>=Capacidad!$E$93</f>
        <v>201.67266807720705</v>
      </c>
      <c r="J93" s="6">
        <f>=(I93*12)</f>
        <v>2420.0720169264846</v>
      </c>
      <c r="K93" s="6">
        <f>=(F93*((1+Parametros!$C$8)^MAX(0,($A93-1))))</f>
        <v>11.386494499371882</v>
      </c>
      <c r="L93" s="6">
        <f>=(G93*J93)</f>
        <v>142094.02817795536</v>
      </c>
      <c r="M93" s="6">
        <f>=(K93*J93)</f>
        <v>27556.13670881723</v>
      </c>
      <c r="N93" s="6">
        <f>=(L93-M93)</f>
        <v>114537.89146913814</v>
      </c>
      <c r="O93" s="19">
        <v>20</v>
      </c>
      <c r="P93" s="23">
        <f>=Capacidad!$F$93</f>
        <v>0.2593527110046387</v>
      </c>
      <c r="Q93" s="19">
        <v>1</v>
      </c>
      <c r="R93" s="19">
        <v>0</v>
      </c>
      <c r="S93" s="19">
        <v>1</v>
      </c>
      <c r="T93" s="19">
        <v>0</v>
      </c>
      <c r="U93" s="19">
        <v>1</v>
      </c>
      <c r="V93" s="25" t="str">
        <f>=IF(I93&lt;H93-0.000001,"LIMITADA","")</f>
        <v/>
      </c>
    </row>
    <row r="95">
      <c r="A95" s="8" t="str">
        <v>Celdas ámbar = editables. Verdes = fórmulas. «LIMITADA» = la demanda prevista supera la capacidad del escenario activo y la producción queda limitada a lo atendible.</v>
      </c>
    </row>
  </sheetData>
  <autoFilter ref="A3:V93"/>
  <ignoredErrors>
    <ignoredError numberStoredAsText="1" sqref="A1:V95"/>
  </ignoredErrors>
</worksheet>
</file>

<file path=xl/worksheets/sheet10.xml><?xml version="1.0" encoding="utf-8"?>
<worksheet xmlns="http://schemas.openxmlformats.org/spreadsheetml/2006/main" xmlns:r="http://schemas.openxmlformats.org/officeDocument/2006/relationships">
  <dimension ref="A1:G57"/>
  <sheetViews>
    <sheetView workbookViewId="0"/>
  </sheetViews>
  <cols>
    <col min="1" max="1" width="6.83203125" customWidth="1"/>
    <col min="2" max="2" width="12.83203125" customWidth="1"/>
    <col min="3" max="3" width="22.83203125" customWidth="1"/>
    <col min="4" max="4" width="10.83203125" customWidth="1"/>
    <col min="5" max="5" width="22.83203125" customWidth="1"/>
    <col min="6" max="6" width="18.83203125" customWidth="1"/>
    <col min="7" max="7" width="16.83203125" customWidth="1"/>
  </cols>
  <sheetData>
    <row r="1">
      <c r="A1" s="3" t="str">
        <v>Fuerza de trabajo (4.9) — proyección por categoría y año</v>
      </c>
    </row>
    <row r="3">
      <c r="A3" s="12" t="str">
        <v>Año</v>
      </c>
      <c r="B3" s="12" t="str">
        <v>Etapa</v>
      </c>
      <c r="C3" s="12" t="str">
        <v>Grupo</v>
      </c>
      <c r="D3" s="12" t="str">
        <v>Cantidad</v>
      </c>
      <c r="E3" s="12" t="str">
        <v>Salario base anual (CUP)</v>
      </c>
      <c r="F3" s="12" t="str">
        <v>Salario proy. (CUP)</v>
      </c>
      <c r="G3" s="12" t="str">
        <v>Costo (CUP)</v>
      </c>
    </row>
    <row r="4">
      <c r="A4" s="19">
        <v>0</v>
      </c>
      <c r="B4" s="19" t="str">
        <v>montaje</v>
      </c>
      <c r="C4" s="19" t="str">
        <v>cubano_otro</v>
      </c>
      <c r="D4" s="19">
        <v>6</v>
      </c>
      <c r="E4" s="26">
        <v>96000</v>
      </c>
      <c r="F4" s="14">
        <f>=(E4*((1+Parametros!$C$12)^MAX(0,($A4-1))))</f>
        <v>96000</v>
      </c>
      <c r="G4" s="14">
        <f>=D4*F4</f>
        <v>576000</v>
      </c>
    </row>
    <row r="5">
      <c r="A5" s="19">
        <v>1</v>
      </c>
      <c r="B5" s="19" t="str">
        <v>operacion</v>
      </c>
      <c r="C5" s="19" t="str">
        <v>cubano_directivo</v>
      </c>
      <c r="D5" s="19">
        <v>3</v>
      </c>
      <c r="E5" s="26">
        <v>312000</v>
      </c>
      <c r="F5" s="14">
        <f>=(E5*((1+Parametros!$C$12)^MAX(0,($A5-1))))</f>
        <v>312000</v>
      </c>
      <c r="G5" s="14">
        <f>=D5*F5</f>
        <v>936000</v>
      </c>
    </row>
    <row r="6">
      <c r="A6" s="19">
        <v>1</v>
      </c>
      <c r="B6" s="19" t="str">
        <v>operacion</v>
      </c>
      <c r="C6" s="19" t="str">
        <v>cubano_otro</v>
      </c>
      <c r="D6" s="19">
        <v>12</v>
      </c>
      <c r="E6" s="26">
        <v>264000</v>
      </c>
      <c r="F6" s="14">
        <f>=(E6*((1+Parametros!$C$12)^MAX(0,($A6-1))))</f>
        <v>264000</v>
      </c>
      <c r="G6" s="14">
        <f>=D6*F6</f>
        <v>3168000</v>
      </c>
    </row>
    <row r="7">
      <c r="A7" s="19">
        <v>1</v>
      </c>
      <c r="B7" s="19" t="str">
        <v>operacion</v>
      </c>
      <c r="C7" s="19" t="str">
        <v>cubano_otro</v>
      </c>
      <c r="D7" s="19">
        <v>6</v>
      </c>
      <c r="E7" s="26">
        <v>168000</v>
      </c>
      <c r="F7" s="14">
        <f>=(E7*((1+Parametros!$C$12)^MAX(0,($A7-1))))</f>
        <v>168000</v>
      </c>
      <c r="G7" s="14">
        <f>=D7*F7</f>
        <v>1008000</v>
      </c>
    </row>
    <row r="8">
      <c r="A8" s="19">
        <v>1</v>
      </c>
      <c r="B8" s="19" t="str">
        <v>operacion</v>
      </c>
      <c r="C8" s="19" t="str">
        <v>cubano_otro</v>
      </c>
      <c r="D8" s="19">
        <v>5</v>
      </c>
      <c r="E8" s="26">
        <v>120000</v>
      </c>
      <c r="F8" s="14">
        <f>=(E8*((1+Parametros!$C$12)^MAX(0,($A8-1))))</f>
        <v>120000</v>
      </c>
      <c r="G8" s="14">
        <f>=D8*F8</f>
        <v>600000</v>
      </c>
    </row>
    <row r="9">
      <c r="A9" s="19">
        <v>1</v>
      </c>
      <c r="B9" s="19" t="str">
        <v>operacion</v>
      </c>
      <c r="C9" s="19" t="str">
        <v>extranjero_directivo</v>
      </c>
      <c r="D9" s="19">
        <v>1</v>
      </c>
      <c r="E9" s="26">
        <v>9600000</v>
      </c>
      <c r="F9" s="14">
        <f>=(E9*((1+Parametros!$C$12)^MAX(0,($A9-1))))</f>
        <v>9600000</v>
      </c>
      <c r="G9" s="14">
        <f>=D9*F9</f>
        <v>9600000</v>
      </c>
    </row>
    <row r="10">
      <c r="A10" s="19">
        <v>2</v>
      </c>
      <c r="B10" s="19" t="str">
        <v>operacion</v>
      </c>
      <c r="C10" s="19" t="str">
        <v>cubano_directivo</v>
      </c>
      <c r="D10" s="19">
        <v>3</v>
      </c>
      <c r="E10" s="26">
        <v>312000</v>
      </c>
      <c r="F10" s="14">
        <f>=(E10*((1+Parametros!$C$12)^MAX(0,($A10-1))))</f>
        <v>327600</v>
      </c>
      <c r="G10" s="14">
        <f>=D10*F10</f>
        <v>982800</v>
      </c>
    </row>
    <row r="11">
      <c r="A11" s="19">
        <v>2</v>
      </c>
      <c r="B11" s="19" t="str">
        <v>operacion</v>
      </c>
      <c r="C11" s="19" t="str">
        <v>cubano_otro</v>
      </c>
      <c r="D11" s="19">
        <v>12</v>
      </c>
      <c r="E11" s="26">
        <v>264000</v>
      </c>
      <c r="F11" s="14">
        <f>=(E11*((1+Parametros!$C$12)^MAX(0,($A11-1))))</f>
        <v>277200</v>
      </c>
      <c r="G11" s="14">
        <f>=D11*F11</f>
        <v>3326400</v>
      </c>
    </row>
    <row r="12">
      <c r="A12" s="19">
        <v>2</v>
      </c>
      <c r="B12" s="19" t="str">
        <v>operacion</v>
      </c>
      <c r="C12" s="19" t="str">
        <v>cubano_otro</v>
      </c>
      <c r="D12" s="19">
        <v>6</v>
      </c>
      <c r="E12" s="26">
        <v>168000</v>
      </c>
      <c r="F12" s="14">
        <f>=(E12*((1+Parametros!$C$12)^MAX(0,($A12-1))))</f>
        <v>176400</v>
      </c>
      <c r="G12" s="14">
        <f>=D12*F12</f>
        <v>1058400</v>
      </c>
    </row>
    <row r="13">
      <c r="A13" s="19">
        <v>2</v>
      </c>
      <c r="B13" s="19" t="str">
        <v>operacion</v>
      </c>
      <c r="C13" s="19" t="str">
        <v>cubano_otro</v>
      </c>
      <c r="D13" s="19">
        <v>5</v>
      </c>
      <c r="E13" s="26">
        <v>120000</v>
      </c>
      <c r="F13" s="14">
        <f>=(E13*((1+Parametros!$C$12)^MAX(0,($A13-1))))</f>
        <v>126000</v>
      </c>
      <c r="G13" s="14">
        <f>=D13*F13</f>
        <v>630000</v>
      </c>
    </row>
    <row r="14">
      <c r="A14" s="19">
        <v>2</v>
      </c>
      <c r="B14" s="19" t="str">
        <v>operacion</v>
      </c>
      <c r="C14" s="19" t="str">
        <v>extranjero_directivo</v>
      </c>
      <c r="D14" s="19">
        <v>1</v>
      </c>
      <c r="E14" s="26">
        <v>9600000</v>
      </c>
      <c r="F14" s="14">
        <f>=(E14*((1+Parametros!$C$12)^MAX(0,($A14-1))))</f>
        <v>10080000</v>
      </c>
      <c r="G14" s="14">
        <f>=D14*F14</f>
        <v>10080000</v>
      </c>
    </row>
    <row r="15">
      <c r="A15" s="19">
        <v>3</v>
      </c>
      <c r="B15" s="19" t="str">
        <v>operacion</v>
      </c>
      <c r="C15" s="19" t="str">
        <v>cubano_directivo</v>
      </c>
      <c r="D15" s="19">
        <v>3</v>
      </c>
      <c r="E15" s="26">
        <v>312000</v>
      </c>
      <c r="F15" s="14">
        <f>=(E15*((1+Parametros!$C$12)^MAX(0,($A15-1))))</f>
        <v>343980</v>
      </c>
      <c r="G15" s="14">
        <f>=D15*F15</f>
        <v>1031940</v>
      </c>
    </row>
    <row r="16">
      <c r="A16" s="19">
        <v>3</v>
      </c>
      <c r="B16" s="19" t="str">
        <v>operacion</v>
      </c>
      <c r="C16" s="19" t="str">
        <v>cubano_otro</v>
      </c>
      <c r="D16" s="19">
        <v>12</v>
      </c>
      <c r="E16" s="26">
        <v>264000</v>
      </c>
      <c r="F16" s="14">
        <f>=(E16*((1+Parametros!$C$12)^MAX(0,($A16-1))))</f>
        <v>291060</v>
      </c>
      <c r="G16" s="14">
        <f>=D16*F16</f>
        <v>3492720</v>
      </c>
    </row>
    <row r="17">
      <c r="A17" s="19">
        <v>3</v>
      </c>
      <c r="B17" s="19" t="str">
        <v>operacion</v>
      </c>
      <c r="C17" s="19" t="str">
        <v>cubano_otro</v>
      </c>
      <c r="D17" s="19">
        <v>6</v>
      </c>
      <c r="E17" s="26">
        <v>168000</v>
      </c>
      <c r="F17" s="14">
        <f>=(E17*((1+Parametros!$C$12)^MAX(0,($A17-1))))</f>
        <v>185220</v>
      </c>
      <c r="G17" s="14">
        <f>=D17*F17</f>
        <v>1111320</v>
      </c>
    </row>
    <row r="18">
      <c r="A18" s="19">
        <v>3</v>
      </c>
      <c r="B18" s="19" t="str">
        <v>operacion</v>
      </c>
      <c r="C18" s="19" t="str">
        <v>cubano_otro</v>
      </c>
      <c r="D18" s="19">
        <v>5</v>
      </c>
      <c r="E18" s="26">
        <v>120000</v>
      </c>
      <c r="F18" s="14">
        <f>=(E18*((1+Parametros!$C$12)^MAX(0,($A18-1))))</f>
        <v>132300</v>
      </c>
      <c r="G18" s="14">
        <f>=D18*F18</f>
        <v>661500</v>
      </c>
    </row>
    <row r="19">
      <c r="A19" s="19">
        <v>3</v>
      </c>
      <c r="B19" s="19" t="str">
        <v>operacion</v>
      </c>
      <c r="C19" s="19" t="str">
        <v>extranjero_directivo</v>
      </c>
      <c r="D19" s="19">
        <v>1</v>
      </c>
      <c r="E19" s="26">
        <v>9600000</v>
      </c>
      <c r="F19" s="14">
        <f>=(E19*((1+Parametros!$C$12)^MAX(0,($A19-1))))</f>
        <v>10584000</v>
      </c>
      <c r="G19" s="14">
        <f>=D19*F19</f>
        <v>10584000</v>
      </c>
    </row>
    <row r="20">
      <c r="A20" s="19">
        <v>4</v>
      </c>
      <c r="B20" s="19" t="str">
        <v>operacion</v>
      </c>
      <c r="C20" s="19" t="str">
        <v>cubano_directivo</v>
      </c>
      <c r="D20" s="19">
        <v>3</v>
      </c>
      <c r="E20" s="26">
        <v>312000</v>
      </c>
      <c r="F20" s="14">
        <f>=(E20*((1+Parametros!$C$12)^MAX(0,($A20-1))))</f>
        <v>361179.00000000006</v>
      </c>
      <c r="G20" s="14">
        <f>=D20*F20</f>
        <v>1083537.0000000002</v>
      </c>
    </row>
    <row r="21">
      <c r="A21" s="19">
        <v>4</v>
      </c>
      <c r="B21" s="19" t="str">
        <v>operacion</v>
      </c>
      <c r="C21" s="19" t="str">
        <v>cubano_otro</v>
      </c>
      <c r="D21" s="19">
        <v>12</v>
      </c>
      <c r="E21" s="26">
        <v>264000</v>
      </c>
      <c r="F21" s="14">
        <f>=(E21*((1+Parametros!$C$12)^MAX(0,($A21-1))))</f>
        <v>305613.00000000006</v>
      </c>
      <c r="G21" s="14">
        <f>=D21*F21</f>
        <v>3667356.0000000005</v>
      </c>
    </row>
    <row r="22">
      <c r="A22" s="19">
        <v>4</v>
      </c>
      <c r="B22" s="19" t="str">
        <v>operacion</v>
      </c>
      <c r="C22" s="19" t="str">
        <v>cubano_otro</v>
      </c>
      <c r="D22" s="19">
        <v>6</v>
      </c>
      <c r="E22" s="26">
        <v>168000</v>
      </c>
      <c r="F22" s="14">
        <f>=(E22*((1+Parametros!$C$12)^MAX(0,($A22-1))))</f>
        <v>194481.00000000003</v>
      </c>
      <c r="G22" s="14">
        <f>=D22*F22</f>
        <v>1166886.0000000002</v>
      </c>
    </row>
    <row r="23">
      <c r="A23" s="19">
        <v>4</v>
      </c>
      <c r="B23" s="19" t="str">
        <v>operacion</v>
      </c>
      <c r="C23" s="19" t="str">
        <v>cubano_otro</v>
      </c>
      <c r="D23" s="19">
        <v>5</v>
      </c>
      <c r="E23" s="26">
        <v>120000</v>
      </c>
      <c r="F23" s="14">
        <f>=(E23*((1+Parametros!$C$12)^MAX(0,($A23-1))))</f>
        <v>138915.00000000003</v>
      </c>
      <c r="G23" s="14">
        <f>=D23*F23</f>
        <v>694575.0000000001</v>
      </c>
    </row>
    <row r="24">
      <c r="A24" s="19">
        <v>4</v>
      </c>
      <c r="B24" s="19" t="str">
        <v>operacion</v>
      </c>
      <c r="C24" s="19" t="str">
        <v>extranjero_directivo</v>
      </c>
      <c r="D24" s="19">
        <v>1</v>
      </c>
      <c r="E24" s="26">
        <v>9600000</v>
      </c>
      <c r="F24" s="14">
        <f>=(E24*((1+Parametros!$C$12)^MAX(0,($A24-1))))</f>
        <v>11113200.000000002</v>
      </c>
      <c r="G24" s="14">
        <f>=D24*F24</f>
        <v>11113200.000000002</v>
      </c>
    </row>
    <row r="25">
      <c r="A25" s="19">
        <v>5</v>
      </c>
      <c r="B25" s="19" t="str">
        <v>operacion</v>
      </c>
      <c r="C25" s="19" t="str">
        <v>cubano_directivo</v>
      </c>
      <c r="D25" s="19">
        <v>3</v>
      </c>
      <c r="E25" s="26">
        <v>312000</v>
      </c>
      <c r="F25" s="14">
        <f>=(E25*((1+Parametros!$C$12)^MAX(0,($A25-1))))</f>
        <v>379237.95</v>
      </c>
      <c r="G25" s="14">
        <f>=D25*F25</f>
        <v>1137713.85</v>
      </c>
    </row>
    <row r="26">
      <c r="A26" s="19">
        <v>5</v>
      </c>
      <c r="B26" s="19" t="str">
        <v>operacion</v>
      </c>
      <c r="C26" s="19" t="str">
        <v>cubano_otro</v>
      </c>
      <c r="D26" s="19">
        <v>12</v>
      </c>
      <c r="E26" s="26">
        <v>264000</v>
      </c>
      <c r="F26" s="14">
        <f>=(E26*((1+Parametros!$C$12)^MAX(0,($A26-1))))</f>
        <v>320893.65</v>
      </c>
      <c r="G26" s="14">
        <f>=D26*F26</f>
        <v>3850723.8</v>
      </c>
    </row>
    <row r="27">
      <c r="A27" s="19">
        <v>5</v>
      </c>
      <c r="B27" s="19" t="str">
        <v>operacion</v>
      </c>
      <c r="C27" s="19" t="str">
        <v>cubano_otro</v>
      </c>
      <c r="D27" s="19">
        <v>6</v>
      </c>
      <c r="E27" s="26">
        <v>168000</v>
      </c>
      <c r="F27" s="14">
        <f>=(E27*((1+Parametros!$C$12)^MAX(0,($A27-1))))</f>
        <v>204205.05</v>
      </c>
      <c r="G27" s="14">
        <f>=D27*F27</f>
        <v>1225230.3</v>
      </c>
    </row>
    <row r="28">
      <c r="A28" s="19">
        <v>5</v>
      </c>
      <c r="B28" s="19" t="str">
        <v>operacion</v>
      </c>
      <c r="C28" s="19" t="str">
        <v>cubano_otro</v>
      </c>
      <c r="D28" s="19">
        <v>5</v>
      </c>
      <c r="E28" s="26">
        <v>120000</v>
      </c>
      <c r="F28" s="14">
        <f>=(E28*((1+Parametros!$C$12)^MAX(0,($A28-1))))</f>
        <v>145860.75</v>
      </c>
      <c r="G28" s="14">
        <f>=D28*F28</f>
        <v>729303.75</v>
      </c>
    </row>
    <row r="29">
      <c r="A29" s="19">
        <v>5</v>
      </c>
      <c r="B29" s="19" t="str">
        <v>operacion</v>
      </c>
      <c r="C29" s="19" t="str">
        <v>extranjero_directivo</v>
      </c>
      <c r="D29" s="19">
        <v>1</v>
      </c>
      <c r="E29" s="26">
        <v>9600000</v>
      </c>
      <c r="F29" s="14">
        <f>=(E29*((1+Parametros!$C$12)^MAX(0,($A29-1))))</f>
        <v>11668860</v>
      </c>
      <c r="G29" s="14">
        <f>=D29*F29</f>
        <v>11668860</v>
      </c>
    </row>
    <row r="30">
      <c r="A30" s="19">
        <v>6</v>
      </c>
      <c r="B30" s="19" t="str">
        <v>operacion</v>
      </c>
      <c r="C30" s="19" t="str">
        <v>cubano_directivo</v>
      </c>
      <c r="D30" s="19">
        <v>3</v>
      </c>
      <c r="E30" s="26">
        <v>312000</v>
      </c>
      <c r="F30" s="14">
        <f>=(E30*((1+Parametros!$C$12)^MAX(0,($A30-1))))</f>
        <v>398199.84750000003</v>
      </c>
      <c r="G30" s="14">
        <f>=D30*F30</f>
        <v>1194599.5425000002</v>
      </c>
    </row>
    <row r="31">
      <c r="A31" s="19">
        <v>6</v>
      </c>
      <c r="B31" s="19" t="str">
        <v>operacion</v>
      </c>
      <c r="C31" s="19" t="str">
        <v>cubano_otro</v>
      </c>
      <c r="D31" s="19">
        <v>12</v>
      </c>
      <c r="E31" s="26">
        <v>264000</v>
      </c>
      <c r="F31" s="14">
        <f>=(E31*((1+Parametros!$C$12)^MAX(0,($A31-1))))</f>
        <v>336938.3325</v>
      </c>
      <c r="G31" s="14">
        <f>=D31*F31</f>
        <v>4043259.99</v>
      </c>
    </row>
    <row r="32">
      <c r="A32" s="19">
        <v>6</v>
      </c>
      <c r="B32" s="19" t="str">
        <v>operacion</v>
      </c>
      <c r="C32" s="19" t="str">
        <v>cubano_otro</v>
      </c>
      <c r="D32" s="19">
        <v>6</v>
      </c>
      <c r="E32" s="26">
        <v>168000</v>
      </c>
      <c r="F32" s="14">
        <f>=(E32*((1+Parametros!$C$12)^MAX(0,($A32-1))))</f>
        <v>214415.30250000002</v>
      </c>
      <c r="G32" s="14">
        <f>=D32*F32</f>
        <v>1286491.8150000002</v>
      </c>
    </row>
    <row r="33">
      <c r="A33" s="19">
        <v>6</v>
      </c>
      <c r="B33" s="19" t="str">
        <v>operacion</v>
      </c>
      <c r="C33" s="19" t="str">
        <v>cubano_otro</v>
      </c>
      <c r="D33" s="19">
        <v>5</v>
      </c>
      <c r="E33" s="26">
        <v>120000</v>
      </c>
      <c r="F33" s="14">
        <f>=(E33*((1+Parametros!$C$12)^MAX(0,($A33-1))))</f>
        <v>153153.7875</v>
      </c>
      <c r="G33" s="14">
        <f>=D33*F33</f>
        <v>765768.9375000001</v>
      </c>
    </row>
    <row r="34">
      <c r="A34" s="19">
        <v>6</v>
      </c>
      <c r="B34" s="19" t="str">
        <v>operacion</v>
      </c>
      <c r="C34" s="19" t="str">
        <v>extranjero_directivo</v>
      </c>
      <c r="D34" s="19">
        <v>1</v>
      </c>
      <c r="E34" s="26">
        <v>9600000</v>
      </c>
      <c r="F34" s="14">
        <f>=(E34*((1+Parametros!$C$12)^MAX(0,($A34-1))))</f>
        <v>12252303.000000002</v>
      </c>
      <c r="G34" s="14">
        <f>=D34*F34</f>
        <v>12252303.000000002</v>
      </c>
    </row>
    <row r="35">
      <c r="A35" s="19">
        <v>7</v>
      </c>
      <c r="B35" s="19" t="str">
        <v>operacion</v>
      </c>
      <c r="C35" s="19" t="str">
        <v>cubano_directivo</v>
      </c>
      <c r="D35" s="19">
        <v>3</v>
      </c>
      <c r="E35" s="26">
        <v>312000</v>
      </c>
      <c r="F35" s="14">
        <f>=(E35*((1+Parametros!$C$12)^MAX(0,($A35-1))))</f>
        <v>418109.839875</v>
      </c>
      <c r="G35" s="14">
        <f>=D35*F35</f>
        <v>1254329.519625</v>
      </c>
    </row>
    <row r="36">
      <c r="A36" s="19">
        <v>7</v>
      </c>
      <c r="B36" s="19" t="str">
        <v>operacion</v>
      </c>
      <c r="C36" s="19" t="str">
        <v>cubano_otro</v>
      </c>
      <c r="D36" s="19">
        <v>12</v>
      </c>
      <c r="E36" s="26">
        <v>264000</v>
      </c>
      <c r="F36" s="14">
        <f>=(E36*((1+Parametros!$C$12)^MAX(0,($A36-1))))</f>
        <v>353785.249125</v>
      </c>
      <c r="G36" s="14">
        <f>=D36*F36</f>
        <v>4245422.9895</v>
      </c>
    </row>
    <row r="37">
      <c r="A37" s="19">
        <v>7</v>
      </c>
      <c r="B37" s="19" t="str">
        <v>operacion</v>
      </c>
      <c r="C37" s="19" t="str">
        <v>cubano_otro</v>
      </c>
      <c r="D37" s="19">
        <v>6</v>
      </c>
      <c r="E37" s="26">
        <v>168000</v>
      </c>
      <c r="F37" s="14">
        <f>=(E37*((1+Parametros!$C$12)^MAX(0,($A37-1))))</f>
        <v>225136.067625</v>
      </c>
      <c r="G37" s="14">
        <f>=D37*F37</f>
        <v>1350816.40575</v>
      </c>
    </row>
    <row r="38">
      <c r="A38" s="19">
        <v>7</v>
      </c>
      <c r="B38" s="19" t="str">
        <v>operacion</v>
      </c>
      <c r="C38" s="19" t="str">
        <v>cubano_otro</v>
      </c>
      <c r="D38" s="19">
        <v>5</v>
      </c>
      <c r="E38" s="26">
        <v>120000</v>
      </c>
      <c r="F38" s="14">
        <f>=(E38*((1+Parametros!$C$12)^MAX(0,($A38-1))))</f>
        <v>160811.476875</v>
      </c>
      <c r="G38" s="14">
        <f>=D38*F38</f>
        <v>804057.384375</v>
      </c>
    </row>
    <row r="39">
      <c r="A39" s="19">
        <v>7</v>
      </c>
      <c r="B39" s="19" t="str">
        <v>operacion</v>
      </c>
      <c r="C39" s="19" t="str">
        <v>extranjero_directivo</v>
      </c>
      <c r="D39" s="19">
        <v>1</v>
      </c>
      <c r="E39" s="26">
        <v>9600000</v>
      </c>
      <c r="F39" s="14">
        <f>=(E39*((1+Parametros!$C$12)^MAX(0,($A39-1))))</f>
        <v>12864918.15</v>
      </c>
      <c r="G39" s="14">
        <f>=D39*F39</f>
        <v>12864918.15</v>
      </c>
    </row>
    <row r="40">
      <c r="A40" s="19">
        <v>8</v>
      </c>
      <c r="B40" s="19" t="str">
        <v>operacion</v>
      </c>
      <c r="C40" s="19" t="str">
        <v>cubano_directivo</v>
      </c>
      <c r="D40" s="19">
        <v>3</v>
      </c>
      <c r="E40" s="26">
        <v>312000</v>
      </c>
      <c r="F40" s="14">
        <f>=(E40*((1+Parametros!$C$12)^MAX(0,($A40-1))))</f>
        <v>439015.3318687501</v>
      </c>
      <c r="G40" s="14">
        <f>=D40*F40</f>
        <v>1317045.9956062501</v>
      </c>
    </row>
    <row r="41">
      <c r="A41" s="19">
        <v>8</v>
      </c>
      <c r="B41" s="19" t="str">
        <v>operacion</v>
      </c>
      <c r="C41" s="19" t="str">
        <v>cubano_otro</v>
      </c>
      <c r="D41" s="19">
        <v>12</v>
      </c>
      <c r="E41" s="26">
        <v>264000</v>
      </c>
      <c r="F41" s="14">
        <f>=(E41*((1+Parametros!$C$12)^MAX(0,($A41-1))))</f>
        <v>371474.51158125006</v>
      </c>
      <c r="G41" s="14">
        <f>=D41*F41</f>
        <v>4457694.138975001</v>
      </c>
    </row>
    <row r="42">
      <c r="A42" s="19">
        <v>8</v>
      </c>
      <c r="B42" s="19" t="str">
        <v>operacion</v>
      </c>
      <c r="C42" s="19" t="str">
        <v>cubano_otro</v>
      </c>
      <c r="D42" s="19">
        <v>6</v>
      </c>
      <c r="E42" s="26">
        <v>168000</v>
      </c>
      <c r="F42" s="14">
        <f>=(E42*((1+Parametros!$C$12)^MAX(0,($A42-1))))</f>
        <v>236392.87100625003</v>
      </c>
      <c r="G42" s="14">
        <f>=D42*F42</f>
        <v>1418357.2260375002</v>
      </c>
    </row>
    <row r="43">
      <c r="A43" s="19">
        <v>8</v>
      </c>
      <c r="B43" s="19" t="str">
        <v>operacion</v>
      </c>
      <c r="C43" s="19" t="str">
        <v>cubano_otro</v>
      </c>
      <c r="D43" s="19">
        <v>5</v>
      </c>
      <c r="E43" s="26">
        <v>120000</v>
      </c>
      <c r="F43" s="14">
        <f>=(E43*((1+Parametros!$C$12)^MAX(0,($A43-1))))</f>
        <v>168852.05071875002</v>
      </c>
      <c r="G43" s="14">
        <f>=D43*F43</f>
        <v>844260.2535937502</v>
      </c>
    </row>
    <row r="44">
      <c r="A44" s="19">
        <v>8</v>
      </c>
      <c r="B44" s="19" t="str">
        <v>operacion</v>
      </c>
      <c r="C44" s="19" t="str">
        <v>extranjero_directivo</v>
      </c>
      <c r="D44" s="19">
        <v>1</v>
      </c>
      <c r="E44" s="26">
        <v>9600000</v>
      </c>
      <c r="F44" s="14">
        <f>=(E44*((1+Parametros!$C$12)^MAX(0,($A44-1))))</f>
        <v>13508164.057500003</v>
      </c>
      <c r="G44" s="14">
        <f>=D44*F44</f>
        <v>13508164.057500003</v>
      </c>
    </row>
    <row r="45">
      <c r="A45" s="19">
        <v>9</v>
      </c>
      <c r="B45" s="19" t="str">
        <v>operacion</v>
      </c>
      <c r="C45" s="19" t="str">
        <v>cubano_directivo</v>
      </c>
      <c r="D45" s="19">
        <v>3</v>
      </c>
      <c r="E45" s="26">
        <v>312000</v>
      </c>
      <c r="F45" s="14">
        <f>=(E45*((1+Parametros!$C$12)^MAX(0,($A45-1))))</f>
        <v>460966.0984621875</v>
      </c>
      <c r="G45" s="14">
        <f>=D45*F45</f>
        <v>1382898.2953865626</v>
      </c>
    </row>
    <row r="46">
      <c r="A46" s="19">
        <v>9</v>
      </c>
      <c r="B46" s="19" t="str">
        <v>operacion</v>
      </c>
      <c r="C46" s="19" t="str">
        <v>cubano_otro</v>
      </c>
      <c r="D46" s="19">
        <v>12</v>
      </c>
      <c r="E46" s="26">
        <v>264000</v>
      </c>
      <c r="F46" s="14">
        <f>=(E46*((1+Parametros!$C$12)^MAX(0,($A46-1))))</f>
        <v>390048.23716031254</v>
      </c>
      <c r="G46" s="14">
        <f>=D46*F46</f>
        <v>4680578.845923751</v>
      </c>
    </row>
    <row r="47">
      <c r="A47" s="19">
        <v>9</v>
      </c>
      <c r="B47" s="19" t="str">
        <v>operacion</v>
      </c>
      <c r="C47" s="19" t="str">
        <v>cubano_otro</v>
      </c>
      <c r="D47" s="19">
        <v>6</v>
      </c>
      <c r="E47" s="26">
        <v>168000</v>
      </c>
      <c r="F47" s="14">
        <f>=(E47*((1+Parametros!$C$12)^MAX(0,($A47-1))))</f>
        <v>248212.5145565625</v>
      </c>
      <c r="G47" s="14">
        <f>=D47*F47</f>
        <v>1489275.0873393752</v>
      </c>
    </row>
    <row r="48">
      <c r="A48" s="19">
        <v>9</v>
      </c>
      <c r="B48" s="19" t="str">
        <v>operacion</v>
      </c>
      <c r="C48" s="19" t="str">
        <v>cubano_otro</v>
      </c>
      <c r="D48" s="19">
        <v>5</v>
      </c>
      <c r="E48" s="26">
        <v>120000</v>
      </c>
      <c r="F48" s="14">
        <f>=(E48*((1+Parametros!$C$12)^MAX(0,($A48-1))))</f>
        <v>177294.6532546875</v>
      </c>
      <c r="G48" s="14">
        <f>=D48*F48</f>
        <v>886473.2662734375</v>
      </c>
    </row>
    <row r="49">
      <c r="A49" s="19">
        <v>9</v>
      </c>
      <c r="B49" s="19" t="str">
        <v>operacion</v>
      </c>
      <c r="C49" s="19" t="str">
        <v>extranjero_directivo</v>
      </c>
      <c r="D49" s="19">
        <v>1</v>
      </c>
      <c r="E49" s="26">
        <v>9600000</v>
      </c>
      <c r="F49" s="14">
        <f>=(E49*((1+Parametros!$C$12)^MAX(0,($A49-1))))</f>
        <v>14183572.260375</v>
      </c>
      <c r="G49" s="14">
        <f>=D49*F49</f>
        <v>14183572.260375</v>
      </c>
    </row>
    <row r="50">
      <c r="A50" s="19">
        <v>10</v>
      </c>
      <c r="B50" s="19" t="str">
        <v>operacion</v>
      </c>
      <c r="C50" s="19" t="str">
        <v>cubano_directivo</v>
      </c>
      <c r="D50" s="19">
        <v>3</v>
      </c>
      <c r="E50" s="26">
        <v>312000</v>
      </c>
      <c r="F50" s="14">
        <f>=(E50*((1+Parametros!$C$12)^MAX(0,($A50-1))))</f>
        <v>484014.40338529693</v>
      </c>
      <c r="G50" s="14">
        <f>=D50*F50</f>
        <v>1452043.2101558908</v>
      </c>
    </row>
    <row r="51">
      <c r="A51" s="19">
        <v>10</v>
      </c>
      <c r="B51" s="19" t="str">
        <v>operacion</v>
      </c>
      <c r="C51" s="19" t="str">
        <v>cubano_otro</v>
      </c>
      <c r="D51" s="19">
        <v>12</v>
      </c>
      <c r="E51" s="26">
        <v>264000</v>
      </c>
      <c r="F51" s="14">
        <f>=(E51*((1+Parametros!$C$12)^MAX(0,($A51-1))))</f>
        <v>409550.6490183282</v>
      </c>
      <c r="G51" s="14">
        <f>=D51*F51</f>
        <v>4914607.788219938</v>
      </c>
    </row>
    <row r="52">
      <c r="A52" s="19">
        <v>10</v>
      </c>
      <c r="B52" s="19" t="str">
        <v>operacion</v>
      </c>
      <c r="C52" s="19" t="str">
        <v>cubano_otro</v>
      </c>
      <c r="D52" s="19">
        <v>6</v>
      </c>
      <c r="E52" s="26">
        <v>168000</v>
      </c>
      <c r="F52" s="14">
        <f>=(E52*((1+Parametros!$C$12)^MAX(0,($A52-1))))</f>
        <v>260623.14028439065</v>
      </c>
      <c r="G52" s="14">
        <f>=D52*F52</f>
        <v>1563738.841706344</v>
      </c>
    </row>
    <row r="53">
      <c r="A53" s="19">
        <v>10</v>
      </c>
      <c r="B53" s="19" t="str">
        <v>operacion</v>
      </c>
      <c r="C53" s="19" t="str">
        <v>cubano_otro</v>
      </c>
      <c r="D53" s="19">
        <v>5</v>
      </c>
      <c r="E53" s="26">
        <v>120000</v>
      </c>
      <c r="F53" s="14">
        <f>=(E53*((1+Parametros!$C$12)^MAX(0,($A53-1))))</f>
        <v>186159.3859174219</v>
      </c>
      <c r="G53" s="14">
        <f>=D53*F53</f>
        <v>930796.9295871095</v>
      </c>
    </row>
    <row r="54">
      <c r="A54" s="19">
        <v>10</v>
      </c>
      <c r="B54" s="19" t="str">
        <v>operacion</v>
      </c>
      <c r="C54" s="19" t="str">
        <v>extranjero_directivo</v>
      </c>
      <c r="D54" s="19">
        <v>1</v>
      </c>
      <c r="E54" s="26">
        <v>9600000</v>
      </c>
      <c r="F54" s="14">
        <f>=(E54*((1+Parametros!$C$12)^MAX(0,($A54-1))))</f>
        <v>14892750.873393752</v>
      </c>
      <c r="G54" s="14">
        <f>=D54*F54</f>
        <v>14892750.873393752</v>
      </c>
    </row>
    <row r="56">
      <c r="A56" s="8" t="str">
        <v>Nota: las filas de etapa «montaje» corresponden al año 0; las de «operación» a los años 1 en adelante.</v>
      </c>
    </row>
    <row r="57">
      <c r="A57" s="8" t="str">
        <v>Entidad autorizada a contratar la fuerza de trabajo: Entidad empleadora autorizada (supuesto ilustrativo: la parte nacional contratante según la legislación vigente).</v>
      </c>
    </row>
  </sheetData>
  <ignoredErrors>
    <ignoredError numberStoredAsText="1" sqref="A1:G57"/>
  </ignoredErrors>
</worksheet>
</file>

<file path=xl/worksheets/sheet11.xml><?xml version="1.0" encoding="utf-8"?>
<worksheet xmlns="http://schemas.openxmlformats.org/spreadsheetml/2006/main" xmlns:r="http://schemas.openxmlformats.org/officeDocument/2006/relationships">
  <dimension ref="A1:T126"/>
  <sheetViews>
    <sheetView workbookViewId="0"/>
  </sheetViews>
  <cols>
    <col min="1" max="1" width="8.83203125" customWidth="1"/>
    <col min="2" max="2" width="34.83203125" customWidth="1"/>
    <col min="3" max="3" width="13.83203125" customWidth="1"/>
    <col min="4" max="4" width="13.83203125" customWidth="1"/>
    <col min="5" max="5" width="14.83203125" customWidth="1"/>
    <col min="6" max="6" width="11.83203125" customWidth="1"/>
    <col min="7" max="7" width="11.83203125" customWidth="1"/>
    <col min="8" max="8" width="30.83203125" customWidth="1"/>
    <col min="9" max="9" width="11.83203125" customWidth="1"/>
    <col min="10" max="10" width="11.83203125" customWidth="1"/>
    <col min="11" max="11" width="11.83203125" customWidth="1"/>
    <col min="12" max="12" width="11.83203125" customWidth="1"/>
    <col min="13" max="13" width="11.83203125" customWidth="1"/>
    <col min="14" max="14" width="11.83203125" customWidth="1"/>
    <col min="15" max="15" width="11.83203125" customWidth="1"/>
    <col min="16" max="16" width="11.83203125" customWidth="1"/>
    <col min="17" max="17" width="11.83203125" customWidth="1"/>
    <col min="18" max="18" width="11.83203125" customWidth="1"/>
    <col min="19" max="19" width="11.83203125" customWidth="1"/>
  </cols>
  <sheetData>
    <row r="1">
      <c r="A1" s="3" t="str">
        <v>Capacidad operativa (misión §7) — recursos compartidos, escenarios y limitación</v>
      </c>
    </row>
    <row r="2">
      <c r="A2" s="8" t="str">
        <v>Escenario activo: B (ampliaciones programadas). Capacidad de cada recurso: unidades × horas/día × días/año × (1 − mantenimiento). Asignación pro-rata cuando varios servicios comparten un recurso.</v>
      </c>
    </row>
    <row r="3">
      <c r="A3" s="12" t="str">
        <v>Año</v>
      </c>
      <c r="B3" s="12" t="str">
        <v>Servicio</v>
      </c>
      <c r="C3" s="12" t="str">
        <v>Demanda mensual</v>
      </c>
      <c r="D3" s="12" t="str">
        <v>Capacidad mensual</v>
      </c>
      <c r="E3" s="12" t="str">
        <v>Cantidad real mensual</v>
      </c>
      <c r="F3" s="12" t="str">
        <v>Utilización</v>
      </c>
      <c r="G3" s="12" t="str">
        <v>Advertencia</v>
      </c>
    </row>
    <row r="4">
      <c r="A4" s="13">
        <f>=Servicios!$A$4</f>
        <v>1</v>
      </c>
      <c r="B4" s="25" t="str">
        <f>=Servicios!$B$4</f>
        <v>Consulta estomatológica</v>
      </c>
      <c r="C4" s="6">
        <f>=Servicios!$H$4</f>
        <v>400</v>
      </c>
      <c r="D4" s="6">
        <f>=MIN(K$103/Servicios!$O$4,K$115/Servicios!$O$4,IF(Servicios!$E$4&gt;0,Servicios!$E$4,9.99E+99))</f>
        <v>1824</v>
      </c>
      <c r="E4" s="6">
        <f>=MIN($C4*MIN(K$105,K$117),$D4)</f>
        <v>400</v>
      </c>
      <c r="F4" s="23">
        <f>=IF($D4&gt;0,$C4/$D4,0)</f>
        <v>0.21929824561403508</v>
      </c>
      <c r="G4" s="25" t="str">
        <f>=IF($E4&lt;$C4-0.000001,"LIMITADA","")</f>
        <v/>
      </c>
    </row>
    <row r="5">
      <c r="A5" s="13">
        <f>=Servicios!$A$5</f>
        <v>1</v>
      </c>
      <c r="B5" s="25" t="str">
        <f>=Servicios!$B$5</f>
        <v>Odontología preventiva (profilaxis y sellado)</v>
      </c>
      <c r="C5" s="6">
        <f>=Servicios!$H$5</f>
        <v>160</v>
      </c>
      <c r="D5" s="6">
        <f>=MIN(K$103/Servicios!$O$5,K$115/Servicios!$O$5,IF(Servicios!$E$5&gt;0,Servicios!$E$5,9.99E+99))</f>
        <v>1368</v>
      </c>
      <c r="E5" s="6">
        <f>=MIN($C5*MIN(K$105,K$117),$D5)</f>
        <v>160</v>
      </c>
      <c r="F5" s="23">
        <f>=IF($D5&gt;0,$C5/$D5,0)</f>
        <v>0.11695906432748537</v>
      </c>
      <c r="G5" s="25" t="str">
        <f>=IF($E5&lt;$C5-0.000001,"LIMITADA","")</f>
        <v/>
      </c>
    </row>
    <row r="6">
      <c r="A6" s="13">
        <f>=Servicios!$A$6</f>
        <v>1</v>
      </c>
      <c r="B6" s="25" t="str">
        <f>=Servicios!$B$6</f>
        <v>Restauraciones (obturaciones)</v>
      </c>
      <c r="C6" s="6">
        <f>=Servicios!$H$6</f>
        <v>220</v>
      </c>
      <c r="D6" s="6">
        <f>=MIN(K$103/Servicios!$O$6,K$115/Servicios!$O$6,IF(Servicios!$E$6&gt;0,Servicios!$E$6,9.99E+99))</f>
        <v>1216</v>
      </c>
      <c r="E6" s="6">
        <f>=MIN($C6*MIN(K$105,K$117),$D6)</f>
        <v>220</v>
      </c>
      <c r="F6" s="23">
        <f>=IF($D6&gt;0,$C6/$D6,0)</f>
        <v>0.18092105263157895</v>
      </c>
      <c r="G6" s="25" t="str">
        <f>=IF($E6&lt;$C6-0.000001,"LIMITADA","")</f>
        <v/>
      </c>
    </row>
    <row r="7">
      <c r="A7" s="13">
        <f>=Servicios!$A$7</f>
        <v>1</v>
      </c>
      <c r="B7" s="25" t="str">
        <f>=Servicios!$B$7</f>
        <v>Endodoncia</v>
      </c>
      <c r="C7" s="6">
        <f>=Servicios!$H$7</f>
        <v>70</v>
      </c>
      <c r="D7" s="6">
        <f>=MIN(K$103/Servicios!$O$7,K$115/Servicios!$O$7,IF(Servicios!$E$7&gt;0,Servicios!$E$7,9.99E+99))</f>
        <v>912</v>
      </c>
      <c r="E7" s="6">
        <f>=MIN($C7*MIN(K$105,K$117),$D7)</f>
        <v>70</v>
      </c>
      <c r="F7" s="23">
        <f>=IF($D7&gt;0,$C7/$D7,0)</f>
        <v>0.07675438596491228</v>
      </c>
      <c r="G7" s="25" t="str">
        <f>=IF($E7&lt;$C7-0.000001,"LIMITADA","")</f>
        <v/>
      </c>
    </row>
    <row r="8">
      <c r="A8" s="13">
        <f>=Servicios!$A$8</f>
        <v>1</v>
      </c>
      <c r="B8" s="25" t="str">
        <f>=Servicios!$B$8</f>
        <v>Periodoncia</v>
      </c>
      <c r="C8" s="6">
        <f>=Servicios!$H$8</f>
        <v>60</v>
      </c>
      <c r="D8" s="6">
        <f>=MIN(K$103/Servicios!$O$8,K$115/Servicios!$O$8,IF(Servicios!$E$8&gt;0,Servicios!$E$8,9.99E+99))</f>
        <v>1094.4</v>
      </c>
      <c r="E8" s="6">
        <f>=MIN($C8*MIN(K$105,K$117),$D8)</f>
        <v>60</v>
      </c>
      <c r="F8" s="23">
        <f>=IF($D8&gt;0,$C8/$D8,0)</f>
        <v>0.05482456140350877</v>
      </c>
      <c r="G8" s="25" t="str">
        <f>=IF($E8&lt;$C8-0.000001,"LIMITADA","")</f>
        <v/>
      </c>
    </row>
    <row r="9">
      <c r="A9" s="13">
        <f>=Servicios!$A$9</f>
        <v>1</v>
      </c>
      <c r="B9" s="25" t="str">
        <f>=Servicios!$B$9</f>
        <v>Cirugía oral</v>
      </c>
      <c r="C9" s="6">
        <f>=Servicios!$H$9</f>
        <v>35</v>
      </c>
      <c r="D9" s="6">
        <f>=MIN(K$103/Servicios!$O$9,K$115/Servicios!$O$9,IF(Servicios!$E$9&gt;0,Servicios!$E$9,9.99E+99))</f>
        <v>912</v>
      </c>
      <c r="E9" s="6">
        <f>=MIN($C9*MIN(K$105,K$117),$D9)</f>
        <v>35</v>
      </c>
      <c r="F9" s="23">
        <f>=IF($D9&gt;0,$C9/$D9,0)</f>
        <v>0.03837719298245614</v>
      </c>
      <c r="G9" s="25" t="str">
        <f>=IF($E9&lt;$C9-0.000001,"LIMITADA","")</f>
        <v/>
      </c>
    </row>
    <row r="10">
      <c r="A10" s="13">
        <f>=Servicios!$A$10</f>
        <v>1</v>
      </c>
      <c r="B10" s="25" t="str">
        <f>=Servicios!$B$10</f>
        <v>Prótesis estomatológica</v>
      </c>
      <c r="C10" s="6">
        <f>=Servicios!$H$10</f>
        <v>28</v>
      </c>
      <c r="D10" s="6">
        <f>=MIN(K$111/Servicios!$O$10,K$115/Servicios!$O$10,IF(Servicios!$E$10&gt;0,Servicios!$E$10,9.99E+99))</f>
        <v>91.2</v>
      </c>
      <c r="E10" s="6">
        <f>=MIN($C10*MIN(K$113,K$117),$D10)</f>
        <v>28</v>
      </c>
      <c r="F10" s="23">
        <f>=IF($D10&gt;0,$C10/$D10,0)</f>
        <v>0.30701754385964913</v>
      </c>
      <c r="G10" s="25" t="str">
        <f>=IF($E10&lt;$C10-0.000001,"LIMITADA","")</f>
        <v/>
      </c>
    </row>
    <row r="11">
      <c r="A11" s="13">
        <f>=Servicios!$A$11</f>
        <v>1</v>
      </c>
      <c r="B11" s="25" t="str">
        <f>=Servicios!$B$11</f>
        <v>Ortodoncia</v>
      </c>
      <c r="C11" s="6">
        <f>=Servicios!$H$11</f>
        <v>9</v>
      </c>
      <c r="D11" s="6">
        <f>=MIN(K$103/Servicios!$O$11,K$115/Servicios!$O$11,IF(Servicios!$E$11&gt;0,Servicios!$E$11,9.99E+99))</f>
        <v>608</v>
      </c>
      <c r="E11" s="6">
        <f>=MIN($C11*MIN(K$105,K$117),$D11)</f>
        <v>9</v>
      </c>
      <c r="F11" s="23">
        <f>=IF($D11&gt;0,$C11/$D11,0)</f>
        <v>0.014802631578947368</v>
      </c>
      <c r="G11" s="25" t="str">
        <f>=IF($E11&lt;$C11-0.000001,"LIMITADA","")</f>
        <v/>
      </c>
    </row>
    <row r="12">
      <c r="A12" s="13">
        <f>=Servicios!$A$12</f>
        <v>1</v>
      </c>
      <c r="B12" s="25" t="str">
        <f>=Servicios!$B$12</f>
        <v>Imagenología dental</v>
      </c>
      <c r="C12" s="6">
        <f>=Servicios!$H$12</f>
        <v>130</v>
      </c>
      <c r="D12" s="6">
        <f>=MIN(K$107/Servicios!$O$12,K$115/Servicios!$O$12,IF(Servicios!$E$12&gt;0,Servicios!$E$12,9.99E+99))</f>
        <v>777.6</v>
      </c>
      <c r="E12" s="6">
        <f>=MIN($C12*MIN(K$109,K$117),$D12)</f>
        <v>130</v>
      </c>
      <c r="F12" s="23">
        <f>=IF($D12&gt;0,$C12/$D12,0)</f>
        <v>0.16718106995884774</v>
      </c>
      <c r="G12" s="25" t="str">
        <f>=IF($E12&lt;$C12-0.000001,"LIMITADA","")</f>
        <v/>
      </c>
    </row>
    <row r="13">
      <c r="A13" s="13">
        <f>=Servicios!$A$13</f>
        <v>2</v>
      </c>
      <c r="B13" s="25" t="str">
        <f>=Servicios!$B$13</f>
        <v>Consulta estomatológica</v>
      </c>
      <c r="C13" s="6">
        <f>=Servicios!$H$13</f>
        <v>420</v>
      </c>
      <c r="D13" s="6">
        <f>=MIN(L$103/Servicios!$O$13,L$115/Servicios!$O$13,IF(Servicios!$E$13&gt;0,Servicios!$E$13,9.99E+99))</f>
        <v>1824</v>
      </c>
      <c r="E13" s="6">
        <f>=MIN($C13*MIN(L$105,L$117),$D13)</f>
        <v>420</v>
      </c>
      <c r="F13" s="23">
        <f>=IF($D13&gt;0,$C13/$D13,0)</f>
        <v>0.23026315789473684</v>
      </c>
      <c r="G13" s="25" t="str">
        <f>=IF($E13&lt;$C13-0.000001,"LIMITADA","")</f>
        <v/>
      </c>
    </row>
    <row r="14">
      <c r="A14" s="13">
        <f>=Servicios!$A$14</f>
        <v>2</v>
      </c>
      <c r="B14" s="25" t="str">
        <f>=Servicios!$B$14</f>
        <v>Odontología preventiva (profilaxis y sellado)</v>
      </c>
      <c r="C14" s="6">
        <f>=Servicios!$H$14</f>
        <v>168</v>
      </c>
      <c r="D14" s="6">
        <f>=MIN(L$103/Servicios!$O$14,L$115/Servicios!$O$14,IF(Servicios!$E$14&gt;0,Servicios!$E$14,9.99E+99))</f>
        <v>1368</v>
      </c>
      <c r="E14" s="6">
        <f>=MIN($C14*MIN(L$105,L$117),$D14)</f>
        <v>168</v>
      </c>
      <c r="F14" s="23">
        <f>=IF($D14&gt;0,$C14/$D14,0)</f>
        <v>0.12280701754385964</v>
      </c>
      <c r="G14" s="25" t="str">
        <f>=IF($E14&lt;$C14-0.000001,"LIMITADA","")</f>
        <v/>
      </c>
    </row>
    <row r="15">
      <c r="A15" s="13">
        <f>=Servicios!$A$15</f>
        <v>2</v>
      </c>
      <c r="B15" s="25" t="str">
        <f>=Servicios!$B$15</f>
        <v>Restauraciones (obturaciones)</v>
      </c>
      <c r="C15" s="6">
        <f>=Servicios!$H$15</f>
        <v>231</v>
      </c>
      <c r="D15" s="6">
        <f>=MIN(L$103/Servicios!$O$15,L$115/Servicios!$O$15,IF(Servicios!$E$15&gt;0,Servicios!$E$15,9.99E+99))</f>
        <v>1216</v>
      </c>
      <c r="E15" s="6">
        <f>=MIN($C15*MIN(L$105,L$117),$D15)</f>
        <v>231</v>
      </c>
      <c r="F15" s="23">
        <f>=IF($D15&gt;0,$C15/$D15,0)</f>
        <v>0.18996710526315788</v>
      </c>
      <c r="G15" s="25" t="str">
        <f>=IF($E15&lt;$C15-0.000001,"LIMITADA","")</f>
        <v/>
      </c>
    </row>
    <row r="16">
      <c r="A16" s="13">
        <f>=Servicios!$A$16</f>
        <v>2</v>
      </c>
      <c r="B16" s="25" t="str">
        <f>=Servicios!$B$16</f>
        <v>Endodoncia</v>
      </c>
      <c r="C16" s="6">
        <f>=Servicios!$H$16</f>
        <v>73.5</v>
      </c>
      <c r="D16" s="6">
        <f>=MIN(L$103/Servicios!$O$16,L$115/Servicios!$O$16,IF(Servicios!$E$16&gt;0,Servicios!$E$16,9.99E+99))</f>
        <v>912</v>
      </c>
      <c r="E16" s="6">
        <f>=MIN($C16*MIN(L$105,L$117),$D16)</f>
        <v>73.5</v>
      </c>
      <c r="F16" s="23">
        <f>=IF($D16&gt;0,$C16/$D16,0)</f>
        <v>0.0805921052631579</v>
      </c>
      <c r="G16" s="25" t="str">
        <f>=IF($E16&lt;$C16-0.000001,"LIMITADA","")</f>
        <v/>
      </c>
    </row>
    <row r="17">
      <c r="A17" s="13">
        <f>=Servicios!$A$17</f>
        <v>2</v>
      </c>
      <c r="B17" s="25" t="str">
        <f>=Servicios!$B$17</f>
        <v>Periodoncia</v>
      </c>
      <c r="C17" s="6">
        <f>=Servicios!$H$17</f>
        <v>63</v>
      </c>
      <c r="D17" s="6">
        <f>=MIN(L$103/Servicios!$O$17,L$115/Servicios!$O$17,IF(Servicios!$E$17&gt;0,Servicios!$E$17,9.99E+99))</f>
        <v>1094.4</v>
      </c>
      <c r="E17" s="6">
        <f>=MIN($C17*MIN(L$105,L$117),$D17)</f>
        <v>63</v>
      </c>
      <c r="F17" s="23">
        <f>=IF($D17&gt;0,$C17/$D17,0)</f>
        <v>0.05756578947368421</v>
      </c>
      <c r="G17" s="25" t="str">
        <f>=IF($E17&lt;$C17-0.000001,"LIMITADA","")</f>
        <v/>
      </c>
    </row>
    <row r="18">
      <c r="A18" s="13">
        <f>=Servicios!$A$18</f>
        <v>2</v>
      </c>
      <c r="B18" s="25" t="str">
        <f>=Servicios!$B$18</f>
        <v>Cirugía oral</v>
      </c>
      <c r="C18" s="6">
        <f>=Servicios!$H$18</f>
        <v>36.75</v>
      </c>
      <c r="D18" s="6">
        <f>=MIN(L$103/Servicios!$O$18,L$115/Servicios!$O$18,IF(Servicios!$E$18&gt;0,Servicios!$E$18,9.99E+99))</f>
        <v>912</v>
      </c>
      <c r="E18" s="6">
        <f>=MIN($C18*MIN(L$105,L$117),$D18)</f>
        <v>36.75</v>
      </c>
      <c r="F18" s="23">
        <f>=IF($D18&gt;0,$C18/$D18,0)</f>
        <v>0.04029605263157895</v>
      </c>
      <c r="G18" s="25" t="str">
        <f>=IF($E18&lt;$C18-0.000001,"LIMITADA","")</f>
        <v/>
      </c>
    </row>
    <row r="19">
      <c r="A19" s="13">
        <f>=Servicios!$A$19</f>
        <v>2</v>
      </c>
      <c r="B19" s="25" t="str">
        <f>=Servicios!$B$19</f>
        <v>Prótesis estomatológica</v>
      </c>
      <c r="C19" s="6">
        <f>=Servicios!$H$19</f>
        <v>29.400000000000002</v>
      </c>
      <c r="D19" s="6">
        <f>=MIN(L$111/Servicios!$O$19,L$115/Servicios!$O$19,IF(Servicios!$E$19&gt;0,Servicios!$E$19,9.99E+99))</f>
        <v>91.2</v>
      </c>
      <c r="E19" s="6">
        <f>=MIN($C19*MIN(L$113,L$117),$D19)</f>
        <v>29.400000000000002</v>
      </c>
      <c r="F19" s="23">
        <f>=IF($D19&gt;0,$C19/$D19,0)</f>
        <v>0.3223684210526316</v>
      </c>
      <c r="G19" s="25" t="str">
        <f>=IF($E19&lt;$C19-0.000001,"LIMITADA","")</f>
        <v/>
      </c>
    </row>
    <row r="20">
      <c r="A20" s="13">
        <f>=Servicios!$A$20</f>
        <v>2</v>
      </c>
      <c r="B20" s="25" t="str">
        <f>=Servicios!$B$20</f>
        <v>Ortodoncia</v>
      </c>
      <c r="C20" s="6">
        <f>=Servicios!$H$20</f>
        <v>9.450000000000001</v>
      </c>
      <c r="D20" s="6">
        <f>=MIN(L$103/Servicios!$O$20,L$115/Servicios!$O$20,IF(Servicios!$E$20&gt;0,Servicios!$E$20,9.99E+99))</f>
        <v>608</v>
      </c>
      <c r="E20" s="6">
        <f>=MIN($C20*MIN(L$105,L$117),$D20)</f>
        <v>9.450000000000001</v>
      </c>
      <c r="F20" s="23">
        <f>=IF($D20&gt;0,$C20/$D20,0)</f>
        <v>0.015542763157894738</v>
      </c>
      <c r="G20" s="25" t="str">
        <f>=IF($E20&lt;$C20-0.000001,"LIMITADA","")</f>
        <v/>
      </c>
    </row>
    <row r="21">
      <c r="A21" s="13">
        <f>=Servicios!$A$21</f>
        <v>2</v>
      </c>
      <c r="B21" s="25" t="str">
        <f>=Servicios!$B$21</f>
        <v>Imagenología dental</v>
      </c>
      <c r="C21" s="6">
        <f>=Servicios!$H$21</f>
        <v>136.5</v>
      </c>
      <c r="D21" s="6">
        <f>=MIN(L$107/Servicios!$O$21,L$115/Servicios!$O$21,IF(Servicios!$E$21&gt;0,Servicios!$E$21,9.99E+99))</f>
        <v>777.6</v>
      </c>
      <c r="E21" s="6">
        <f>=MIN($C21*MIN(L$109,L$117),$D21)</f>
        <v>136.5</v>
      </c>
      <c r="F21" s="23">
        <f>=IF($D21&gt;0,$C21/$D21,0)</f>
        <v>0.17554012345679013</v>
      </c>
      <c r="G21" s="25" t="str">
        <f>=IF($E21&lt;$C21-0.000001,"LIMITADA","")</f>
        <v/>
      </c>
    </row>
    <row r="22">
      <c r="A22" s="13">
        <f>=Servicios!$A$22</f>
        <v>3</v>
      </c>
      <c r="B22" s="25" t="str">
        <f>=Servicios!$B$22</f>
        <v>Consulta estomatológica</v>
      </c>
      <c r="C22" s="6">
        <f>=Servicios!$H$22</f>
        <v>441</v>
      </c>
      <c r="D22" s="6">
        <f>=MIN(M$103/Servicios!$O$22,M$115/Servicios!$O$22,IF(Servicios!$E$22&gt;0,Servicios!$E$22,9.99E+99))</f>
        <v>1824</v>
      </c>
      <c r="E22" s="6">
        <f>=MIN($C22*MIN(M$105,M$117),$D22)</f>
        <v>441</v>
      </c>
      <c r="F22" s="23">
        <f>=IF($D22&gt;0,$C22/$D22,0)</f>
        <v>0.24177631578947367</v>
      </c>
      <c r="G22" s="25" t="str">
        <f>=IF($E22&lt;$C22-0.000001,"LIMITADA","")</f>
        <v/>
      </c>
    </row>
    <row r="23">
      <c r="A23" s="13">
        <f>=Servicios!$A$23</f>
        <v>3</v>
      </c>
      <c r="B23" s="25" t="str">
        <f>=Servicios!$B$23</f>
        <v>Odontología preventiva (profilaxis y sellado)</v>
      </c>
      <c r="C23" s="6">
        <f>=Servicios!$H$23</f>
        <v>176.4</v>
      </c>
      <c r="D23" s="6">
        <f>=MIN(M$103/Servicios!$O$23,M$115/Servicios!$O$23,IF(Servicios!$E$23&gt;0,Servicios!$E$23,9.99E+99))</f>
        <v>1368</v>
      </c>
      <c r="E23" s="6">
        <f>=MIN($C23*MIN(M$105,M$117),$D23)</f>
        <v>176.4</v>
      </c>
      <c r="F23" s="23">
        <f>=IF($D23&gt;0,$C23/$D23,0)</f>
        <v>0.12894736842105264</v>
      </c>
      <c r="G23" s="25" t="str">
        <f>=IF($E23&lt;$C23-0.000001,"LIMITADA","")</f>
        <v/>
      </c>
    </row>
    <row r="24">
      <c r="A24" s="13">
        <f>=Servicios!$A$24</f>
        <v>3</v>
      </c>
      <c r="B24" s="25" t="str">
        <f>=Servicios!$B$24</f>
        <v>Restauraciones (obturaciones)</v>
      </c>
      <c r="C24" s="6">
        <f>=Servicios!$H$24</f>
        <v>242.55</v>
      </c>
      <c r="D24" s="6">
        <f>=MIN(M$103/Servicios!$O$24,M$115/Servicios!$O$24,IF(Servicios!$E$24&gt;0,Servicios!$E$24,9.99E+99))</f>
        <v>1216</v>
      </c>
      <c r="E24" s="6">
        <f>=MIN($C24*MIN(M$105,M$117),$D24)</f>
        <v>242.55</v>
      </c>
      <c r="F24" s="23">
        <f>=IF($D24&gt;0,$C24/$D24,0)</f>
        <v>0.1994654605263158</v>
      </c>
      <c r="G24" s="25" t="str">
        <f>=IF($E24&lt;$C24-0.000001,"LIMITADA","")</f>
        <v/>
      </c>
    </row>
    <row r="25">
      <c r="A25" s="13">
        <f>=Servicios!$A$25</f>
        <v>3</v>
      </c>
      <c r="B25" s="25" t="str">
        <f>=Servicios!$B$25</f>
        <v>Endodoncia</v>
      </c>
      <c r="C25" s="6">
        <f>=Servicios!$H$25</f>
        <v>77.175</v>
      </c>
      <c r="D25" s="6">
        <f>=MIN(M$103/Servicios!$O$25,M$115/Servicios!$O$25,IF(Servicios!$E$25&gt;0,Servicios!$E$25,9.99E+99))</f>
        <v>912</v>
      </c>
      <c r="E25" s="6">
        <f>=MIN($C25*MIN(M$105,M$117),$D25)</f>
        <v>77.175</v>
      </c>
      <c r="F25" s="23">
        <f>=IF($D25&gt;0,$C25/$D25,0)</f>
        <v>0.08462171052631579</v>
      </c>
      <c r="G25" s="25" t="str">
        <f>=IF($E25&lt;$C25-0.000001,"LIMITADA","")</f>
        <v/>
      </c>
    </row>
    <row r="26">
      <c r="A26" s="13">
        <f>=Servicios!$A$26</f>
        <v>3</v>
      </c>
      <c r="B26" s="25" t="str">
        <f>=Servicios!$B$26</f>
        <v>Periodoncia</v>
      </c>
      <c r="C26" s="6">
        <f>=Servicios!$H$26</f>
        <v>66.15</v>
      </c>
      <c r="D26" s="6">
        <f>=MIN(M$103/Servicios!$O$26,M$115/Servicios!$O$26,IF(Servicios!$E$26&gt;0,Servicios!$E$26,9.99E+99))</f>
        <v>1094.4</v>
      </c>
      <c r="E26" s="6">
        <f>=MIN($C26*MIN(M$105,M$117),$D26)</f>
        <v>66.15</v>
      </c>
      <c r="F26" s="23">
        <f>=IF($D26&gt;0,$C26/$D26,0)</f>
        <v>0.06044407894736842</v>
      </c>
      <c r="G26" s="25" t="str">
        <f>=IF($E26&lt;$C26-0.000001,"LIMITADA","")</f>
        <v/>
      </c>
    </row>
    <row r="27">
      <c r="A27" s="13">
        <f>=Servicios!$A$27</f>
        <v>3</v>
      </c>
      <c r="B27" s="25" t="str">
        <f>=Servicios!$B$27</f>
        <v>Cirugía oral</v>
      </c>
      <c r="C27" s="6">
        <f>=Servicios!$H$27</f>
        <v>38.5875</v>
      </c>
      <c r="D27" s="6">
        <f>=MIN(M$103/Servicios!$O$27,M$115/Servicios!$O$27,IF(Servicios!$E$27&gt;0,Servicios!$E$27,9.99E+99))</f>
        <v>912</v>
      </c>
      <c r="E27" s="6">
        <f>=MIN($C27*MIN(M$105,M$117),$D27)</f>
        <v>38.5875</v>
      </c>
      <c r="F27" s="23">
        <f>=IF($D27&gt;0,$C27/$D27,0)</f>
        <v>0.04231085526315789</v>
      </c>
      <c r="G27" s="25" t="str">
        <f>=IF($E27&lt;$C27-0.000001,"LIMITADA","")</f>
        <v/>
      </c>
    </row>
    <row r="28">
      <c r="A28" s="13">
        <f>=Servicios!$A$28</f>
        <v>3</v>
      </c>
      <c r="B28" s="25" t="str">
        <f>=Servicios!$B$28</f>
        <v>Prótesis estomatológica</v>
      </c>
      <c r="C28" s="6">
        <f>=Servicios!$H$28</f>
        <v>30.87</v>
      </c>
      <c r="D28" s="6">
        <f>=MIN(M$111/Servicios!$O$28,M$115/Servicios!$O$28,IF(Servicios!$E$28&gt;0,Servicios!$E$28,9.99E+99))</f>
        <v>91.2</v>
      </c>
      <c r="E28" s="6">
        <f>=MIN($C28*MIN(M$113,M$117),$D28)</f>
        <v>30.87</v>
      </c>
      <c r="F28" s="23">
        <f>=IF($D28&gt;0,$C28/$D28,0)</f>
        <v>0.33848684210526314</v>
      </c>
      <c r="G28" s="25" t="str">
        <f>=IF($E28&lt;$C28-0.000001,"LIMITADA","")</f>
        <v/>
      </c>
    </row>
    <row r="29">
      <c r="A29" s="13">
        <f>=Servicios!$A$29</f>
        <v>3</v>
      </c>
      <c r="B29" s="25" t="str">
        <f>=Servicios!$B$29</f>
        <v>Ortodoncia</v>
      </c>
      <c r="C29" s="6">
        <f>=Servicios!$H$29</f>
        <v>9.9225</v>
      </c>
      <c r="D29" s="6">
        <f>=MIN(M$103/Servicios!$O$29,M$115/Servicios!$O$29,IF(Servicios!$E$29&gt;0,Servicios!$E$29,9.99E+99))</f>
        <v>608</v>
      </c>
      <c r="E29" s="6">
        <f>=MIN($C29*MIN(M$105,M$117),$D29)</f>
        <v>9.9225</v>
      </c>
      <c r="F29" s="23">
        <f>=IF($D29&gt;0,$C29/$D29,0)</f>
        <v>0.016319901315789472</v>
      </c>
      <c r="G29" s="25" t="str">
        <f>=IF($E29&lt;$C29-0.000001,"LIMITADA","")</f>
        <v/>
      </c>
    </row>
    <row r="30">
      <c r="A30" s="13">
        <f>=Servicios!$A$30</f>
        <v>3</v>
      </c>
      <c r="B30" s="25" t="str">
        <f>=Servicios!$B$30</f>
        <v>Imagenología dental</v>
      </c>
      <c r="C30" s="6">
        <f>=Servicios!$H$30</f>
        <v>143.32500000000002</v>
      </c>
      <c r="D30" s="6">
        <f>=MIN(M$107/Servicios!$O$30,M$115/Servicios!$O$30,IF(Servicios!$E$30&gt;0,Servicios!$E$30,9.99E+99))</f>
        <v>777.6</v>
      </c>
      <c r="E30" s="6">
        <f>=MIN($C30*MIN(M$109,M$117),$D30)</f>
        <v>143.32500000000002</v>
      </c>
      <c r="F30" s="23">
        <f>=IF($D30&gt;0,$C30/$D30,0)</f>
        <v>0.18431712962962965</v>
      </c>
      <c r="G30" s="25" t="str">
        <f>=IF($E30&lt;$C30-0.000001,"LIMITADA","")</f>
        <v/>
      </c>
    </row>
    <row r="31">
      <c r="A31" s="13">
        <f>=Servicios!$A$31</f>
        <v>4</v>
      </c>
      <c r="B31" s="25" t="str">
        <f>=Servicios!$B$31</f>
        <v>Consulta estomatológica</v>
      </c>
      <c r="C31" s="6">
        <f>=Servicios!$H$31</f>
        <v>463.05000000000007</v>
      </c>
      <c r="D31" s="6">
        <f>=MIN(N$103/Servicios!$O$31,N$115/Servicios!$O$31,IF(Servicios!$E$31&gt;0,Servicios!$E$31,9.99E+99))</f>
        <v>1824</v>
      </c>
      <c r="E31" s="6">
        <f>=MIN($C31*MIN(N$105,N$117),$D31)</f>
        <v>463.05000000000007</v>
      </c>
      <c r="F31" s="23">
        <f>=IF($D31&gt;0,$C31/$D31,0)</f>
        <v>0.2538651315789474</v>
      </c>
      <c r="G31" s="25" t="str">
        <f>=IF($E31&lt;$C31-0.000001,"LIMITADA","")</f>
        <v/>
      </c>
    </row>
    <row r="32">
      <c r="A32" s="13">
        <f>=Servicios!$A$32</f>
        <v>4</v>
      </c>
      <c r="B32" s="25" t="str">
        <f>=Servicios!$B$32</f>
        <v>Odontología preventiva (profilaxis y sellado)</v>
      </c>
      <c r="C32" s="6">
        <f>=Servicios!$H$32</f>
        <v>185.22000000000003</v>
      </c>
      <c r="D32" s="6">
        <f>=MIN(N$103/Servicios!$O$32,N$115/Servicios!$O$32,IF(Servicios!$E$32&gt;0,Servicios!$E$32,9.99E+99))</f>
        <v>1368</v>
      </c>
      <c r="E32" s="6">
        <f>=MIN($C32*MIN(N$105,N$117),$D32)</f>
        <v>185.22000000000003</v>
      </c>
      <c r="F32" s="23">
        <f>=IF($D32&gt;0,$C32/$D32,0)</f>
        <v>0.1353947368421053</v>
      </c>
      <c r="G32" s="25" t="str">
        <f>=IF($E32&lt;$C32-0.000001,"LIMITADA","")</f>
        <v/>
      </c>
    </row>
    <row r="33">
      <c r="A33" s="13">
        <f>=Servicios!$A$33</f>
        <v>4</v>
      </c>
      <c r="B33" s="25" t="str">
        <f>=Servicios!$B$33</f>
        <v>Restauraciones (obturaciones)</v>
      </c>
      <c r="C33" s="6">
        <f>=Servicios!$H$33</f>
        <v>254.67750000000004</v>
      </c>
      <c r="D33" s="6">
        <f>=MIN(N$103/Servicios!$O$33,N$115/Servicios!$O$33,IF(Servicios!$E$33&gt;0,Servicios!$E$33,9.99E+99))</f>
        <v>1216</v>
      </c>
      <c r="E33" s="6">
        <f>=MIN($C33*MIN(N$105,N$117),$D33)</f>
        <v>254.67750000000004</v>
      </c>
      <c r="F33" s="23">
        <f>=IF($D33&gt;0,$C33/$D33,0)</f>
        <v>0.20943873355263162</v>
      </c>
      <c r="G33" s="25" t="str">
        <f>=IF($E33&lt;$C33-0.000001,"LIMITADA","")</f>
        <v/>
      </c>
    </row>
    <row r="34">
      <c r="A34" s="13">
        <f>=Servicios!$A$34</f>
        <v>4</v>
      </c>
      <c r="B34" s="25" t="str">
        <f>=Servicios!$B$34</f>
        <v>Endodoncia</v>
      </c>
      <c r="C34" s="6">
        <f>=Servicios!$H$34</f>
        <v>81.03375000000001</v>
      </c>
      <c r="D34" s="6">
        <f>=MIN(N$103/Servicios!$O$34,N$115/Servicios!$O$34,IF(Servicios!$E$34&gt;0,Servicios!$E$34,9.99E+99))</f>
        <v>912</v>
      </c>
      <c r="E34" s="6">
        <f>=MIN($C34*MIN(N$105,N$117),$D34)</f>
        <v>81.03375000000001</v>
      </c>
      <c r="F34" s="23">
        <f>=IF($D34&gt;0,$C34/$D34,0)</f>
        <v>0.08885279605263159</v>
      </c>
      <c r="G34" s="25" t="str">
        <f>=IF($E34&lt;$C34-0.000001,"LIMITADA","")</f>
        <v/>
      </c>
    </row>
    <row r="35">
      <c r="A35" s="13">
        <f>=Servicios!$A$35</f>
        <v>4</v>
      </c>
      <c r="B35" s="25" t="str">
        <f>=Servicios!$B$35</f>
        <v>Periodoncia</v>
      </c>
      <c r="C35" s="6">
        <f>=Servicios!$H$35</f>
        <v>69.45750000000001</v>
      </c>
      <c r="D35" s="6">
        <f>=MIN(N$103/Servicios!$O$35,N$115/Servicios!$O$35,IF(Servicios!$E$35&gt;0,Servicios!$E$35,9.99E+99))</f>
        <v>1094.4</v>
      </c>
      <c r="E35" s="6">
        <f>=MIN($C35*MIN(N$105,N$117),$D35)</f>
        <v>69.45750000000001</v>
      </c>
      <c r="F35" s="23">
        <f>=IF($D35&gt;0,$C35/$D35,0)</f>
        <v>0.06346628289473685</v>
      </c>
      <c r="G35" s="25" t="str">
        <f>=IF($E35&lt;$C35-0.000001,"LIMITADA","")</f>
        <v/>
      </c>
    </row>
    <row r="36">
      <c r="A36" s="13">
        <f>=Servicios!$A$36</f>
        <v>4</v>
      </c>
      <c r="B36" s="25" t="str">
        <f>=Servicios!$B$36</f>
        <v>Cirugía oral</v>
      </c>
      <c r="C36" s="6">
        <f>=Servicios!$H$36</f>
        <v>40.516875000000006</v>
      </c>
      <c r="D36" s="6">
        <f>=MIN(N$103/Servicios!$O$36,N$115/Servicios!$O$36,IF(Servicios!$E$36&gt;0,Servicios!$E$36,9.99E+99))</f>
        <v>912</v>
      </c>
      <c r="E36" s="6">
        <f>=MIN($C36*MIN(N$105,N$117),$D36)</f>
        <v>40.516875000000006</v>
      </c>
      <c r="F36" s="23">
        <f>=IF($D36&gt;0,$C36/$D36,0)</f>
        <v>0.044426398026315796</v>
      </c>
      <c r="G36" s="25" t="str">
        <f>=IF($E36&lt;$C36-0.000001,"LIMITADA","")</f>
        <v/>
      </c>
    </row>
    <row r="37">
      <c r="A37" s="13">
        <f>=Servicios!$A$37</f>
        <v>4</v>
      </c>
      <c r="B37" s="25" t="str">
        <f>=Servicios!$B$37</f>
        <v>Prótesis estomatológica</v>
      </c>
      <c r="C37" s="6">
        <f>=Servicios!$H$37</f>
        <v>32.413500000000006</v>
      </c>
      <c r="D37" s="6">
        <f>=MIN(N$111/Servicios!$O$37,N$115/Servicios!$O$37,IF(Servicios!$E$37&gt;0,Servicios!$E$37,9.99E+99))</f>
        <v>91.2</v>
      </c>
      <c r="E37" s="6">
        <f>=MIN($C37*MIN(N$113,N$117),$D37)</f>
        <v>32.413500000000006</v>
      </c>
      <c r="F37" s="23">
        <f>=IF($D37&gt;0,$C37/$D37,0)</f>
        <v>0.35541118421052637</v>
      </c>
      <c r="G37" s="25" t="str">
        <f>=IF($E37&lt;$C37-0.000001,"LIMITADA","")</f>
        <v/>
      </c>
    </row>
    <row r="38">
      <c r="A38" s="13">
        <f>=Servicios!$A$38</f>
        <v>4</v>
      </c>
      <c r="B38" s="25" t="str">
        <f>=Servicios!$B$38</f>
        <v>Ortodoncia</v>
      </c>
      <c r="C38" s="6">
        <f>=Servicios!$H$38</f>
        <v>10.418625</v>
      </c>
      <c r="D38" s="6">
        <f>=MIN(N$103/Servicios!$O$38,N$115/Servicios!$O$38,IF(Servicios!$E$38&gt;0,Servicios!$E$38,9.99E+99))</f>
        <v>608</v>
      </c>
      <c r="E38" s="6">
        <f>=MIN($C38*MIN(N$105,N$117),$D38)</f>
        <v>10.418625</v>
      </c>
      <c r="F38" s="23">
        <f>=IF($D38&gt;0,$C38/$D38,0)</f>
        <v>0.017135896381578947</v>
      </c>
      <c r="G38" s="25" t="str">
        <f>=IF($E38&lt;$C38-0.000001,"LIMITADA","")</f>
        <v/>
      </c>
    </row>
    <row r="39">
      <c r="A39" s="13">
        <f>=Servicios!$A$39</f>
        <v>4</v>
      </c>
      <c r="B39" s="25" t="str">
        <f>=Servicios!$B$39</f>
        <v>Imagenología dental</v>
      </c>
      <c r="C39" s="6">
        <f>=Servicios!$H$39</f>
        <v>150.49125</v>
      </c>
      <c r="D39" s="6">
        <f>=MIN(N$107/Servicios!$O$39,N$115/Servicios!$O$39,IF(Servicios!$E$39&gt;0,Servicios!$E$39,9.99E+99))</f>
        <v>777.6</v>
      </c>
      <c r="E39" s="6">
        <f>=MIN($C39*MIN(N$109,N$117),$D39)</f>
        <v>150.49125</v>
      </c>
      <c r="F39" s="23">
        <f>=IF($D39&gt;0,$C39/$D39,0)</f>
        <v>0.1935329861111111</v>
      </c>
      <c r="G39" s="25" t="str">
        <f>=IF($E39&lt;$C39-0.000001,"LIMITADA","")</f>
        <v/>
      </c>
    </row>
    <row r="40">
      <c r="A40" s="13">
        <f>=Servicios!$A$40</f>
        <v>5</v>
      </c>
      <c r="B40" s="25" t="str">
        <f>=Servicios!$B$40</f>
        <v>Consulta estomatológica</v>
      </c>
      <c r="C40" s="6">
        <f>=Servicios!$H$40</f>
        <v>486.2025</v>
      </c>
      <c r="D40" s="6">
        <f>=MIN(O$103/Servicios!$O$40,O$115/Servicios!$O$40,IF(Servicios!$E$40&gt;0,Servicios!$E$40,9.99E+99))</f>
        <v>1824</v>
      </c>
      <c r="E40" s="6">
        <f>=MIN($C40*MIN(O$105,O$117),$D40)</f>
        <v>486.2025</v>
      </c>
      <c r="F40" s="23">
        <f>=IF($D40&gt;0,$C40/$D40,0)</f>
        <v>0.26655838815789473</v>
      </c>
      <c r="G40" s="25" t="str">
        <f>=IF($E40&lt;$C40-0.000001,"LIMITADA","")</f>
        <v/>
      </c>
    </row>
    <row r="41">
      <c r="A41" s="13">
        <f>=Servicios!$A$41</f>
        <v>5</v>
      </c>
      <c r="B41" s="25" t="str">
        <f>=Servicios!$B$41</f>
        <v>Odontología preventiva (profilaxis y sellado)</v>
      </c>
      <c r="C41" s="6">
        <f>=Servicios!$H$41</f>
        <v>194.481</v>
      </c>
      <c r="D41" s="6">
        <f>=MIN(O$103/Servicios!$O$41,O$115/Servicios!$O$41,IF(Servicios!$E$41&gt;0,Servicios!$E$41,9.99E+99))</f>
        <v>1368</v>
      </c>
      <c r="E41" s="6">
        <f>=MIN($C41*MIN(O$105,O$117),$D41)</f>
        <v>194.481</v>
      </c>
      <c r="F41" s="23">
        <f>=IF($D41&gt;0,$C41/$D41,0)</f>
        <v>0.14216447368421053</v>
      </c>
      <c r="G41" s="25" t="str">
        <f>=IF($E41&lt;$C41-0.000001,"LIMITADA","")</f>
        <v/>
      </c>
    </row>
    <row r="42">
      <c r="A42" s="13">
        <f>=Servicios!$A$42</f>
        <v>5</v>
      </c>
      <c r="B42" s="25" t="str">
        <f>=Servicios!$B$42</f>
        <v>Restauraciones (obturaciones)</v>
      </c>
      <c r="C42" s="6">
        <f>=Servicios!$H$42</f>
        <v>267.411375</v>
      </c>
      <c r="D42" s="6">
        <f>=MIN(O$103/Servicios!$O$42,O$115/Servicios!$O$42,IF(Servicios!$E$42&gt;0,Servicios!$E$42,9.99E+99))</f>
        <v>1216</v>
      </c>
      <c r="E42" s="6">
        <f>=MIN($C42*MIN(O$105,O$117),$D42)</f>
        <v>267.411375</v>
      </c>
      <c r="F42" s="23">
        <f>=IF($D42&gt;0,$C42/$D42,0)</f>
        <v>0.21991067023026317</v>
      </c>
      <c r="G42" s="25" t="str">
        <f>=IF($E42&lt;$C42-0.000001,"LIMITADA","")</f>
        <v/>
      </c>
    </row>
    <row r="43">
      <c r="A43" s="13">
        <f>=Servicios!$A$43</f>
        <v>5</v>
      </c>
      <c r="B43" s="25" t="str">
        <f>=Servicios!$B$43</f>
        <v>Endodoncia</v>
      </c>
      <c r="C43" s="6">
        <f>=Servicios!$H$43</f>
        <v>85.0854375</v>
      </c>
      <c r="D43" s="6">
        <f>=MIN(O$103/Servicios!$O$43,O$115/Servicios!$O$43,IF(Servicios!$E$43&gt;0,Servicios!$E$43,9.99E+99))</f>
        <v>912</v>
      </c>
      <c r="E43" s="6">
        <f>=MIN($C43*MIN(O$105,O$117),$D43)</f>
        <v>85.0854375</v>
      </c>
      <c r="F43" s="23">
        <f>=IF($D43&gt;0,$C43/$D43,0)</f>
        <v>0.09329543585526316</v>
      </c>
      <c r="G43" s="25" t="str">
        <f>=IF($E43&lt;$C43-0.000001,"LIMITADA","")</f>
        <v/>
      </c>
    </row>
    <row r="44">
      <c r="A44" s="13">
        <f>=Servicios!$A$44</f>
        <v>5</v>
      </c>
      <c r="B44" s="25" t="str">
        <f>=Servicios!$B$44</f>
        <v>Periodoncia</v>
      </c>
      <c r="C44" s="6">
        <f>=Servicios!$H$44</f>
        <v>72.930375</v>
      </c>
      <c r="D44" s="6">
        <f>=MIN(O$103/Servicios!$O$44,O$115/Servicios!$O$44,IF(Servicios!$E$44&gt;0,Servicios!$E$44,9.99E+99))</f>
        <v>1094.4</v>
      </c>
      <c r="E44" s="6">
        <f>=MIN($C44*MIN(O$105,O$117),$D44)</f>
        <v>72.930375</v>
      </c>
      <c r="F44" s="23">
        <f>=IF($D44&gt;0,$C44/$D44,0)</f>
        <v>0.06663959703947368</v>
      </c>
      <c r="G44" s="25" t="str">
        <f>=IF($E44&lt;$C44-0.000001,"LIMITADA","")</f>
        <v/>
      </c>
    </row>
    <row r="45">
      <c r="A45" s="13">
        <f>=Servicios!$A$45</f>
        <v>5</v>
      </c>
      <c r="B45" s="25" t="str">
        <f>=Servicios!$B$45</f>
        <v>Cirugía oral</v>
      </c>
      <c r="C45" s="6">
        <f>=Servicios!$H$45</f>
        <v>42.54271875</v>
      </c>
      <c r="D45" s="6">
        <f>=MIN(O$103/Servicios!$O$45,O$115/Servicios!$O$45,IF(Servicios!$E$45&gt;0,Servicios!$E$45,9.99E+99))</f>
        <v>912</v>
      </c>
      <c r="E45" s="6">
        <f>=MIN($C45*MIN(O$105,O$117),$D45)</f>
        <v>42.54271875</v>
      </c>
      <c r="F45" s="23">
        <f>=IF($D45&gt;0,$C45/$D45,0)</f>
        <v>0.04664771792763158</v>
      </c>
      <c r="G45" s="25" t="str">
        <f>=IF($E45&lt;$C45-0.000001,"LIMITADA","")</f>
        <v/>
      </c>
    </row>
    <row r="46">
      <c r="A46" s="13">
        <f>=Servicios!$A$46</f>
        <v>5</v>
      </c>
      <c r="B46" s="25" t="str">
        <f>=Servicios!$B$46</f>
        <v>Prótesis estomatológica</v>
      </c>
      <c r="C46" s="6">
        <f>=Servicios!$H$46</f>
        <v>34.034175</v>
      </c>
      <c r="D46" s="6">
        <f>=MIN(O$111/Servicios!$O$46,O$115/Servicios!$O$46,IF(Servicios!$E$46&gt;0,Servicios!$E$46,9.99E+99))</f>
        <v>91.2</v>
      </c>
      <c r="E46" s="6">
        <f>=MIN($C46*MIN(O$113,O$117),$D46)</f>
        <v>34.034175</v>
      </c>
      <c r="F46" s="23">
        <f>=IF($D46&gt;0,$C46/$D46,0)</f>
        <v>0.3731817434210526</v>
      </c>
      <c r="G46" s="25" t="str">
        <f>=IF($E46&lt;$C46-0.000001,"LIMITADA","")</f>
        <v/>
      </c>
    </row>
    <row r="47">
      <c r="A47" s="13">
        <f>=Servicios!$A$47</f>
        <v>5</v>
      </c>
      <c r="B47" s="25" t="str">
        <f>=Servicios!$B$47</f>
        <v>Ortodoncia</v>
      </c>
      <c r="C47" s="6">
        <f>=Servicios!$H$47</f>
        <v>10.93955625</v>
      </c>
      <c r="D47" s="6">
        <f>=MIN(O$103/Servicios!$O$47,O$115/Servicios!$O$47,IF(Servicios!$E$47&gt;0,Servicios!$E$47,9.99E+99))</f>
        <v>608</v>
      </c>
      <c r="E47" s="6">
        <f>=MIN($C47*MIN(O$105,O$117),$D47)</f>
        <v>10.93955625</v>
      </c>
      <c r="F47" s="23">
        <f>=IF($D47&gt;0,$C47/$D47,0)</f>
        <v>0.017992691200657895</v>
      </c>
      <c r="G47" s="25" t="str">
        <f>=IF($E47&lt;$C47-0.000001,"LIMITADA","")</f>
        <v/>
      </c>
    </row>
    <row r="48">
      <c r="A48" s="13">
        <f>=Servicios!$A$48</f>
        <v>5</v>
      </c>
      <c r="B48" s="25" t="str">
        <f>=Servicios!$B$48</f>
        <v>Imagenología dental</v>
      </c>
      <c r="C48" s="6">
        <f>=Servicios!$H$48</f>
        <v>158.0158125</v>
      </c>
      <c r="D48" s="6">
        <f>=MIN(O$107/Servicios!$O$48,O$115/Servicios!$O$48,IF(Servicios!$E$48&gt;0,Servicios!$E$48,9.99E+99))</f>
        <v>777.6</v>
      </c>
      <c r="E48" s="6">
        <f>=MIN($C48*MIN(O$109,O$117),$D48)</f>
        <v>158.0158125</v>
      </c>
      <c r="F48" s="23">
        <f>=IF($D48&gt;0,$C48/$D48,0)</f>
        <v>0.20320963541666667</v>
      </c>
      <c r="G48" s="25" t="str">
        <f>=IF($E48&lt;$C48-0.000001,"LIMITADA","")</f>
        <v/>
      </c>
    </row>
    <row r="49">
      <c r="A49" s="13">
        <f>=Servicios!$A$49</f>
        <v>6</v>
      </c>
      <c r="B49" s="25" t="str">
        <f>=Servicios!$B$49</f>
        <v>Consulta estomatológica</v>
      </c>
      <c r="C49" s="6">
        <f>=Servicios!$H$49</f>
        <v>510.51262500000007</v>
      </c>
      <c r="D49" s="6">
        <f>=MIN(P$103/Servicios!$O$49,P$115/Servicios!$O$49,IF(Servicios!$E$49&gt;0,Servicios!$E$49,9.99E+99))</f>
        <v>1824</v>
      </c>
      <c r="E49" s="6">
        <f>=MIN($C49*MIN(P$105,P$117),$D49)</f>
        <v>510.51262500000007</v>
      </c>
      <c r="F49" s="23">
        <f>=IF($D49&gt;0,$C49/$D49,0)</f>
        <v>0.2798863075657895</v>
      </c>
      <c r="G49" s="25" t="str">
        <f>=IF($E49&lt;$C49-0.000001,"LIMITADA","")</f>
        <v/>
      </c>
    </row>
    <row r="50">
      <c r="A50" s="13">
        <f>=Servicios!$A$50</f>
        <v>6</v>
      </c>
      <c r="B50" s="25" t="str">
        <f>=Servicios!$B$50</f>
        <v>Odontología preventiva (profilaxis y sellado)</v>
      </c>
      <c r="C50" s="6">
        <f>=Servicios!$H$50</f>
        <v>204.20505000000003</v>
      </c>
      <c r="D50" s="6">
        <f>=MIN(P$103/Servicios!$O$50,P$115/Servicios!$O$50,IF(Servicios!$E$50&gt;0,Servicios!$E$50,9.99E+99))</f>
        <v>1368</v>
      </c>
      <c r="E50" s="6">
        <f>=MIN($C50*MIN(P$105,P$117),$D50)</f>
        <v>204.20505000000003</v>
      </c>
      <c r="F50" s="23">
        <f>=IF($D50&gt;0,$C50/$D50,0)</f>
        <v>0.14927269736842108</v>
      </c>
      <c r="G50" s="25" t="str">
        <f>=IF($E50&lt;$C50-0.000001,"LIMITADA","")</f>
        <v/>
      </c>
    </row>
    <row r="51">
      <c r="A51" s="13">
        <f>=Servicios!$A$51</f>
        <v>6</v>
      </c>
      <c r="B51" s="25" t="str">
        <f>=Servicios!$B$51</f>
        <v>Restauraciones (obturaciones)</v>
      </c>
      <c r="C51" s="6">
        <f>=Servicios!$H$51</f>
        <v>280.78194375000004</v>
      </c>
      <c r="D51" s="6">
        <f>=MIN(P$103/Servicios!$O$51,P$115/Servicios!$O$51,IF(Servicios!$E$51&gt;0,Servicios!$E$51,9.99E+99))</f>
        <v>1216</v>
      </c>
      <c r="E51" s="6">
        <f>=MIN($C51*MIN(P$105,P$117),$D51)</f>
        <v>280.78194375000004</v>
      </c>
      <c r="F51" s="23">
        <f>=IF($D51&gt;0,$C51/$D51,0)</f>
        <v>0.23090620374177634</v>
      </c>
      <c r="G51" s="25" t="str">
        <f>=IF($E51&lt;$C51-0.000001,"LIMITADA","")</f>
        <v/>
      </c>
    </row>
    <row r="52">
      <c r="A52" s="13">
        <f>=Servicios!$A$52</f>
        <v>6</v>
      </c>
      <c r="B52" s="25" t="str">
        <f>=Servicios!$B$52</f>
        <v>Endodoncia</v>
      </c>
      <c r="C52" s="6">
        <f>=Servicios!$H$52</f>
        <v>89.33970937500001</v>
      </c>
      <c r="D52" s="6">
        <f>=MIN(P$103/Servicios!$O$52,P$115/Servicios!$O$52,IF(Servicios!$E$52&gt;0,Servicios!$E$52,9.99E+99))</f>
        <v>912</v>
      </c>
      <c r="E52" s="6">
        <f>=MIN($C52*MIN(P$105,P$117),$D52)</f>
        <v>89.33970937500001</v>
      </c>
      <c r="F52" s="23">
        <f>=IF($D52&gt;0,$C52/$D52,0)</f>
        <v>0.09796020764802633</v>
      </c>
      <c r="G52" s="25" t="str">
        <f>=IF($E52&lt;$C52-0.000001,"LIMITADA","")</f>
        <v/>
      </c>
    </row>
    <row r="53">
      <c r="A53" s="13">
        <f>=Servicios!$A$53</f>
        <v>6</v>
      </c>
      <c r="B53" s="25" t="str">
        <f>=Servicios!$B$53</f>
        <v>Periodoncia</v>
      </c>
      <c r="C53" s="6">
        <f>=Servicios!$H$53</f>
        <v>76.57689375000001</v>
      </c>
      <c r="D53" s="6">
        <f>=MIN(P$103/Servicios!$O$53,P$115/Servicios!$O$53,IF(Servicios!$E$53&gt;0,Servicios!$E$53,9.99E+99))</f>
        <v>1094.4</v>
      </c>
      <c r="E53" s="6">
        <f>=MIN($C53*MIN(P$105,P$117),$D53)</f>
        <v>76.57689375000001</v>
      </c>
      <c r="F53" s="23">
        <f>=IF($D53&gt;0,$C53/$D53,0)</f>
        <v>0.06997157689144737</v>
      </c>
      <c r="G53" s="25" t="str">
        <f>=IF($E53&lt;$C53-0.000001,"LIMITADA","")</f>
        <v/>
      </c>
    </row>
    <row r="54">
      <c r="A54" s="13">
        <f>=Servicios!$A$54</f>
        <v>6</v>
      </c>
      <c r="B54" s="25" t="str">
        <f>=Servicios!$B$54</f>
        <v>Cirugía oral</v>
      </c>
      <c r="C54" s="6">
        <f>=Servicios!$H$54</f>
        <v>44.669854687500006</v>
      </c>
      <c r="D54" s="6">
        <f>=MIN(P$103/Servicios!$O$54,P$115/Servicios!$O$54,IF(Servicios!$E$54&gt;0,Servicios!$E$54,9.99E+99))</f>
        <v>912</v>
      </c>
      <c r="E54" s="6">
        <f>=MIN($C54*MIN(P$105,P$117),$D54)</f>
        <v>44.669854687500006</v>
      </c>
      <c r="F54" s="23">
        <f>=IF($D54&gt;0,$C54/$D54,0)</f>
        <v>0.04898010382401317</v>
      </c>
      <c r="G54" s="25" t="str">
        <f>=IF($E54&lt;$C54-0.000001,"LIMITADA","")</f>
        <v/>
      </c>
    </row>
    <row r="55">
      <c r="A55" s="13">
        <f>=Servicios!$A$55</f>
        <v>6</v>
      </c>
      <c r="B55" s="25" t="str">
        <f>=Servicios!$B$55</f>
        <v>Prótesis estomatológica</v>
      </c>
      <c r="C55" s="6">
        <f>=Servicios!$H$55</f>
        <v>35.735883750000006</v>
      </c>
      <c r="D55" s="6">
        <f>=MIN(P$111/Servicios!$O$55,P$115/Servicios!$O$55,IF(Servicios!$E$55&gt;0,Servicios!$E$55,9.99E+99))</f>
        <v>91.2</v>
      </c>
      <c r="E55" s="6">
        <f>=MIN($C55*MIN(P$113,P$117),$D55)</f>
        <v>35.735883750000006</v>
      </c>
      <c r="F55" s="23">
        <f>=IF($D55&gt;0,$C55/$D55,0)</f>
        <v>0.39184083059210534</v>
      </c>
      <c r="G55" s="25" t="str">
        <f>=IF($E55&lt;$C55-0.000001,"LIMITADA","")</f>
        <v/>
      </c>
    </row>
    <row r="56">
      <c r="A56" s="13">
        <f>=Servicios!$A$56</f>
        <v>6</v>
      </c>
      <c r="B56" s="25" t="str">
        <f>=Servicios!$B$56</f>
        <v>Ortodoncia</v>
      </c>
      <c r="C56" s="6">
        <f>=Servicios!$H$56</f>
        <v>11.4865340625</v>
      </c>
      <c r="D56" s="6">
        <f>=MIN(P$103/Servicios!$O$56,P$115/Servicios!$O$56,IF(Servicios!$E$56&gt;0,Servicios!$E$56,9.99E+99))</f>
        <v>608</v>
      </c>
      <c r="E56" s="6">
        <f>=MIN($C56*MIN(P$105,P$117),$D56)</f>
        <v>11.4865340625</v>
      </c>
      <c r="F56" s="23">
        <f>=IF($D56&gt;0,$C56/$D56,0)</f>
        <v>0.01889232576069079</v>
      </c>
      <c r="G56" s="25" t="str">
        <f>=IF($E56&lt;$C56-0.000001,"LIMITADA","")</f>
        <v/>
      </c>
    </row>
    <row r="57">
      <c r="A57" s="13">
        <f>=Servicios!$A$57</f>
        <v>6</v>
      </c>
      <c r="B57" s="25" t="str">
        <f>=Servicios!$B$57</f>
        <v>Imagenología dental</v>
      </c>
      <c r="C57" s="6">
        <f>=Servicios!$H$57</f>
        <v>165.91660312500002</v>
      </c>
      <c r="D57" s="6">
        <f>=MIN(P$107/Servicios!$O$57,P$115/Servicios!$O$57,IF(Servicios!$E$57&gt;0,Servicios!$E$57,9.99E+99))</f>
        <v>777.6</v>
      </c>
      <c r="E57" s="6">
        <f>=MIN($C57*MIN(P$109,P$117),$D57)</f>
        <v>165.91660312500002</v>
      </c>
      <c r="F57" s="23">
        <f>=IF($D57&gt;0,$C57/$D57,0)</f>
        <v>0.2133701171875</v>
      </c>
      <c r="G57" s="25" t="str">
        <f>=IF($E57&lt;$C57-0.000001,"LIMITADA","")</f>
        <v/>
      </c>
    </row>
    <row r="58">
      <c r="A58" s="13">
        <f>=Servicios!$A$58</f>
        <v>7</v>
      </c>
      <c r="B58" s="25" t="str">
        <f>=Servicios!$B$58</f>
        <v>Consulta estomatológica</v>
      </c>
      <c r="C58" s="6">
        <f>=Servicios!$H$58</f>
        <v>536.03825625</v>
      </c>
      <c r="D58" s="6">
        <f>=MIN(Q$103/Servicios!$O$58,Q$115/Servicios!$O$58,IF(Servicios!$E$58&gt;0,Servicios!$E$58,9.99E+99))</f>
        <v>2553.5999999999995</v>
      </c>
      <c r="E58" s="6">
        <f>=MIN($C58*MIN(Q$105,Q$117),$D58)</f>
        <v>536.03825625</v>
      </c>
      <c r="F58" s="23">
        <f>=IF($D58&gt;0,$C58/$D58,0)</f>
        <v>0.20991473067434216</v>
      </c>
      <c r="G58" s="25" t="str">
        <f>=IF($E58&lt;$C58-0.000001,"LIMITADA","")</f>
        <v/>
      </c>
    </row>
    <row r="59">
      <c r="A59" s="13">
        <f>=Servicios!$A$59</f>
        <v>7</v>
      </c>
      <c r="B59" s="25" t="str">
        <f>=Servicios!$B$59</f>
        <v>Odontología preventiva (profilaxis y sellado)</v>
      </c>
      <c r="C59" s="6">
        <f>=Servicios!$H$59</f>
        <v>214.4153025</v>
      </c>
      <c r="D59" s="6">
        <f>=MIN(Q$103/Servicios!$O$59,Q$115/Servicios!$O$59,IF(Servicios!$E$59&gt;0,Servicios!$E$59,9.99E+99))</f>
        <v>1915.1999999999996</v>
      </c>
      <c r="E59" s="6">
        <f>=MIN($C59*MIN(Q$105,Q$117),$D59)</f>
        <v>214.4153025</v>
      </c>
      <c r="F59" s="23">
        <f>=IF($D59&gt;0,$C59/$D59,0)</f>
        <v>0.11195452302631581</v>
      </c>
      <c r="G59" s="25" t="str">
        <f>=IF($E59&lt;$C59-0.000001,"LIMITADA","")</f>
        <v/>
      </c>
    </row>
    <row r="60">
      <c r="A60" s="13">
        <f>=Servicios!$A$60</f>
        <v>7</v>
      </c>
      <c r="B60" s="25" t="str">
        <f>=Servicios!$B$60</f>
        <v>Restauraciones (obturaciones)</v>
      </c>
      <c r="C60" s="6">
        <f>=Servicios!$H$60</f>
        <v>294.8210409375</v>
      </c>
      <c r="D60" s="6">
        <f>=MIN(Q$103/Servicios!$O$60,Q$115/Servicios!$O$60,IF(Servicios!$E$60&gt;0,Servicios!$E$60,9.99E+99))</f>
        <v>1702.3999999999996</v>
      </c>
      <c r="E60" s="6">
        <f>=MIN($C60*MIN(Q$105,Q$117),$D60)</f>
        <v>294.8210409375</v>
      </c>
      <c r="F60" s="23">
        <f>=IF($D60&gt;0,$C60/$D60,0)</f>
        <v>0.1731796528063323</v>
      </c>
      <c r="G60" s="25" t="str">
        <f>=IF($E60&lt;$C60-0.000001,"LIMITADA","")</f>
        <v/>
      </c>
    </row>
    <row r="61">
      <c r="A61" s="13">
        <f>=Servicios!$A$61</f>
        <v>7</v>
      </c>
      <c r="B61" s="25" t="str">
        <f>=Servicios!$B$61</f>
        <v>Endodoncia</v>
      </c>
      <c r="C61" s="6">
        <f>=Servicios!$H$61</f>
        <v>93.80669484375</v>
      </c>
      <c r="D61" s="6">
        <f>=MIN(Q$103/Servicios!$O$61,Q$115/Servicios!$O$61,IF(Servicios!$E$61&gt;0,Servicios!$E$61,9.99E+99))</f>
        <v>1276.7999999999997</v>
      </c>
      <c r="E61" s="6">
        <f>=MIN($C61*MIN(Q$105,Q$117),$D61)</f>
        <v>93.80669484375</v>
      </c>
      <c r="F61" s="23">
        <f>=IF($D61&gt;0,$C61/$D61,0)</f>
        <v>0.07347015573601975</v>
      </c>
      <c r="G61" s="25" t="str">
        <f>=IF($E61&lt;$C61-0.000001,"LIMITADA","")</f>
        <v/>
      </c>
    </row>
    <row r="62">
      <c r="A62" s="13">
        <f>=Servicios!$A$62</f>
        <v>7</v>
      </c>
      <c r="B62" s="25" t="str">
        <f>=Servicios!$B$62</f>
        <v>Periodoncia</v>
      </c>
      <c r="C62" s="6">
        <f>=Servicios!$H$62</f>
        <v>80.40573843749999</v>
      </c>
      <c r="D62" s="6">
        <f>=MIN(Q$103/Servicios!$O$62,Q$115/Servicios!$O$62,IF(Servicios!$E$62&gt;0,Servicios!$E$62,9.99E+99))</f>
        <v>1532.1599999999996</v>
      </c>
      <c r="E62" s="6">
        <f>=MIN($C62*MIN(Q$105,Q$117),$D62)</f>
        <v>80.40573843749999</v>
      </c>
      <c r="F62" s="23">
        <f>=IF($D62&gt;0,$C62/$D62,0)</f>
        <v>0.05247868266858553</v>
      </c>
      <c r="G62" s="25" t="str">
        <f>=IF($E62&lt;$C62-0.000001,"LIMITADA","")</f>
        <v/>
      </c>
    </row>
    <row r="63">
      <c r="A63" s="13">
        <f>=Servicios!$A$63</f>
        <v>7</v>
      </c>
      <c r="B63" s="25" t="str">
        <f>=Servicios!$B$63</f>
        <v>Cirugía oral</v>
      </c>
      <c r="C63" s="6">
        <f>=Servicios!$H$63</f>
        <v>46.903347421875</v>
      </c>
      <c r="D63" s="6">
        <f>=MIN(Q$103/Servicios!$O$63,Q$115/Servicios!$O$63,IF(Servicios!$E$63&gt;0,Servicios!$E$63,9.99E+99))</f>
        <v>1276.7999999999997</v>
      </c>
      <c r="E63" s="6">
        <f>=MIN($C63*MIN(Q$105,Q$117),$D63)</f>
        <v>46.903347421875</v>
      </c>
      <c r="F63" s="23">
        <f>=IF($D63&gt;0,$C63/$D63,0)</f>
        <v>0.03673507786800988</v>
      </c>
      <c r="G63" s="25" t="str">
        <f>=IF($E63&lt;$C63-0.000001,"LIMITADA","")</f>
        <v/>
      </c>
    </row>
    <row r="64">
      <c r="A64" s="13">
        <f>=Servicios!$A$64</f>
        <v>7</v>
      </c>
      <c r="B64" s="25" t="str">
        <f>=Servicios!$B$64</f>
        <v>Prótesis estomatológica</v>
      </c>
      <c r="C64" s="6">
        <f>=Servicios!$H$64</f>
        <v>37.5226779375</v>
      </c>
      <c r="D64" s="6">
        <f>=MIN(Q$111/Servicios!$O$64,Q$115/Servicios!$O$64,IF(Servicios!$E$64&gt;0,Servicios!$E$64,9.99E+99))</f>
        <v>91.2</v>
      </c>
      <c r="E64" s="6">
        <f>=MIN($C64*MIN(Q$113,Q$117),$D64)</f>
        <v>37.5226779375</v>
      </c>
      <c r="F64" s="23">
        <f>=IF($D64&gt;0,$C64/$D64,0)</f>
        <v>0.4114328721217105</v>
      </c>
      <c r="G64" s="25" t="str">
        <f>=IF($E64&lt;$C64-0.000001,"LIMITADA","")</f>
        <v/>
      </c>
    </row>
    <row r="65">
      <c r="A65" s="13">
        <f>=Servicios!$A$65</f>
        <v>7</v>
      </c>
      <c r="B65" s="25" t="str">
        <f>=Servicios!$B$65</f>
        <v>Ortodoncia</v>
      </c>
      <c r="C65" s="6">
        <f>=Servicios!$H$65</f>
        <v>12.060860765625</v>
      </c>
      <c r="D65" s="6">
        <f>=MIN(Q$103/Servicios!$O$65,Q$115/Servicios!$O$65,IF(Servicios!$E$65&gt;0,Servicios!$E$65,9.99E+99))</f>
        <v>851.1999999999998</v>
      </c>
      <c r="E65" s="6">
        <f>=MIN($C65*MIN(Q$105,Q$117),$D65)</f>
        <v>12.060860765625</v>
      </c>
      <c r="F65" s="23">
        <f>=IF($D65&gt;0,$C65/$D65,0)</f>
        <v>0.014169244320518096</v>
      </c>
      <c r="G65" s="25" t="str">
        <f>=IF($E65&lt;$C65-0.000001,"LIMITADA","")</f>
        <v/>
      </c>
    </row>
    <row r="66">
      <c r="A66" s="13">
        <f>=Servicios!$A$66</f>
        <v>7</v>
      </c>
      <c r="B66" s="25" t="str">
        <f>=Servicios!$B$66</f>
        <v>Imagenología dental</v>
      </c>
      <c r="C66" s="6">
        <f>=Servicios!$H$66</f>
        <v>174.21243328125</v>
      </c>
      <c r="D66" s="6">
        <f>=MIN(Q$107/Servicios!$O$66,Q$115/Servicios!$O$66,IF(Servicios!$E$66&gt;0,Servicios!$E$66,9.99E+99))</f>
        <v>777.6</v>
      </c>
      <c r="E66" s="6">
        <f>=MIN($C66*MIN(Q$109,Q$117),$D66)</f>
        <v>174.21243328125</v>
      </c>
      <c r="F66" s="23">
        <f>=IF($D66&gt;0,$C66/$D66,0)</f>
        <v>0.22403862304687497</v>
      </c>
      <c r="G66" s="25" t="str">
        <f>=IF($E66&lt;$C66-0.000001,"LIMITADA","")</f>
        <v/>
      </c>
    </row>
    <row r="67">
      <c r="A67" s="13">
        <f>=Servicios!$A$67</f>
        <v>8</v>
      </c>
      <c r="B67" s="25" t="str">
        <f>=Servicios!$B$67</f>
        <v>Consulta estomatológica</v>
      </c>
      <c r="C67" s="6">
        <f>=Servicios!$H$67</f>
        <v>562.8401690625001</v>
      </c>
      <c r="D67" s="6">
        <f>=MIN(R$103/Servicios!$O$67,R$115/Servicios!$O$67,IF(Servicios!$E$67&gt;0,Servicios!$E$67,9.99E+99))</f>
        <v>2553.5999999999995</v>
      </c>
      <c r="E67" s="6">
        <f>=MIN($C67*MIN(R$105,R$117),$D67)</f>
        <v>562.8401690625001</v>
      </c>
      <c r="F67" s="23">
        <f>=IF($D67&gt;0,$C67/$D67,0)</f>
        <v>0.2204104672080593</v>
      </c>
      <c r="G67" s="25" t="str">
        <f>=IF($E67&lt;$C67-0.000001,"LIMITADA","")</f>
        <v/>
      </c>
    </row>
    <row r="68">
      <c r="A68" s="13">
        <f>=Servicios!$A$68</f>
        <v>8</v>
      </c>
      <c r="B68" s="25" t="str">
        <f>=Servicios!$B$68</f>
        <v>Odontología preventiva (profilaxis y sellado)</v>
      </c>
      <c r="C68" s="6">
        <f>=Servicios!$H$68</f>
        <v>225.13606762500004</v>
      </c>
      <c r="D68" s="6">
        <f>=MIN(R$103/Servicios!$O$68,R$115/Servicios!$O$68,IF(Servicios!$E$68&gt;0,Servicios!$E$68,9.99E+99))</f>
        <v>1915.1999999999996</v>
      </c>
      <c r="E68" s="6">
        <f>=MIN($C68*MIN(R$105,R$117),$D68)</f>
        <v>225.13606762500004</v>
      </c>
      <c r="F68" s="23">
        <f>=IF($D68&gt;0,$C68/$D68,0)</f>
        <v>0.11755224917763163</v>
      </c>
      <c r="G68" s="25" t="str">
        <f>=IF($E68&lt;$C68-0.000001,"LIMITADA","")</f>
        <v/>
      </c>
    </row>
    <row r="69">
      <c r="A69" s="13">
        <f>=Servicios!$A$69</f>
        <v>8</v>
      </c>
      <c r="B69" s="25" t="str">
        <f>=Servicios!$B$69</f>
        <v>Restauraciones (obturaciones)</v>
      </c>
      <c r="C69" s="6">
        <f>=Servicios!$H$69</f>
        <v>309.56209298437506</v>
      </c>
      <c r="D69" s="6">
        <f>=MIN(R$103/Servicios!$O$69,R$115/Servicios!$O$69,IF(Servicios!$E$69&gt;0,Servicios!$E$69,9.99E+99))</f>
        <v>1702.3999999999996</v>
      </c>
      <c r="E69" s="6">
        <f>=MIN($C69*MIN(R$105,R$117),$D69)</f>
        <v>309.56209298437506</v>
      </c>
      <c r="F69" s="23">
        <f>=IF($D69&gt;0,$C69/$D69,0)</f>
        <v>0.1818386354466489</v>
      </c>
      <c r="G69" s="25" t="str">
        <f>=IF($E69&lt;$C69-0.000001,"LIMITADA","")</f>
        <v/>
      </c>
    </row>
    <row r="70">
      <c r="A70" s="13">
        <f>=Servicios!$A$70</f>
        <v>8</v>
      </c>
      <c r="B70" s="25" t="str">
        <f>=Servicios!$B$70</f>
        <v>Endodoncia</v>
      </c>
      <c r="C70" s="6">
        <f>=Servicios!$H$70</f>
        <v>98.49702958593751</v>
      </c>
      <c r="D70" s="6">
        <f>=MIN(R$103/Servicios!$O$70,R$115/Servicios!$O$70,IF(Servicios!$E$70&gt;0,Servicios!$E$70,9.99E+99))</f>
        <v>1276.7999999999997</v>
      </c>
      <c r="E70" s="6">
        <f>=MIN($C70*MIN(R$105,R$117),$D70)</f>
        <v>98.49702958593751</v>
      </c>
      <c r="F70" s="23">
        <f>=IF($D70&gt;0,$C70/$D70,0)</f>
        <v>0.07714366352282075</v>
      </c>
      <c r="G70" s="25" t="str">
        <f>=IF($E70&lt;$C70-0.000001,"LIMITADA","")</f>
        <v/>
      </c>
    </row>
    <row r="71">
      <c r="A71" s="13">
        <f>=Servicios!$A$71</f>
        <v>8</v>
      </c>
      <c r="B71" s="25" t="str">
        <f>=Servicios!$B$71</f>
        <v>Periodoncia</v>
      </c>
      <c r="C71" s="6">
        <f>=Servicios!$H$71</f>
        <v>84.42602535937502</v>
      </c>
      <c r="D71" s="6">
        <f>=MIN(R$103/Servicios!$O$71,R$115/Servicios!$O$71,IF(Servicios!$E$71&gt;0,Servicios!$E$71,9.99E+99))</f>
        <v>1532.1599999999996</v>
      </c>
      <c r="E71" s="6">
        <f>=MIN($C71*MIN(R$105,R$117),$D71)</f>
        <v>84.42602535937502</v>
      </c>
      <c r="F71" s="23">
        <f>=IF($D71&gt;0,$C71/$D71,0)</f>
        <v>0.05510261680201483</v>
      </c>
      <c r="G71" s="25" t="str">
        <f>=IF($E71&lt;$C71-0.000001,"LIMITADA","")</f>
        <v/>
      </c>
    </row>
    <row r="72">
      <c r="A72" s="13">
        <f>=Servicios!$A$72</f>
        <v>8</v>
      </c>
      <c r="B72" s="25" t="str">
        <f>=Servicios!$B$72</f>
        <v>Cirugía oral</v>
      </c>
      <c r="C72" s="6">
        <f>=Servicios!$H$72</f>
        <v>49.248514792968756</v>
      </c>
      <c r="D72" s="6">
        <f>=MIN(R$103/Servicios!$O$72,R$115/Servicios!$O$72,IF(Servicios!$E$72&gt;0,Servicios!$E$72,9.99E+99))</f>
        <v>1276.7999999999997</v>
      </c>
      <c r="E72" s="6">
        <f>=MIN($C72*MIN(R$105,R$117),$D72)</f>
        <v>49.248514792968756</v>
      </c>
      <c r="F72" s="23">
        <f>=IF($D72&gt;0,$C72/$D72,0)</f>
        <v>0.03857183176141037</v>
      </c>
      <c r="G72" s="25" t="str">
        <f>=IF($E72&lt;$C72-0.000001,"LIMITADA","")</f>
        <v/>
      </c>
    </row>
    <row r="73">
      <c r="A73" s="13">
        <f>=Servicios!$A$73</f>
        <v>8</v>
      </c>
      <c r="B73" s="25" t="str">
        <f>=Servicios!$B$73</f>
        <v>Prótesis estomatológica</v>
      </c>
      <c r="C73" s="6">
        <f>=Servicios!$H$73</f>
        <v>39.39881183437501</v>
      </c>
      <c r="D73" s="6">
        <f>=MIN(R$111/Servicios!$O$73,R$115/Servicios!$O$73,IF(Servicios!$E$73&gt;0,Servicios!$E$73,9.99E+99))</f>
        <v>91.2</v>
      </c>
      <c r="E73" s="6">
        <f>=MIN($C73*MIN(R$113,R$117),$D73)</f>
        <v>39.39881183437501</v>
      </c>
      <c r="F73" s="23">
        <f>=IF($D73&gt;0,$C73/$D73,0)</f>
        <v>0.43200451572779613</v>
      </c>
      <c r="G73" s="25" t="str">
        <f>=IF($E73&lt;$C73-0.000001,"LIMITADA","")</f>
        <v/>
      </c>
    </row>
    <row r="74">
      <c r="A74" s="13">
        <f>=Servicios!$A$74</f>
        <v>8</v>
      </c>
      <c r="B74" s="25" t="str">
        <f>=Servicios!$B$74</f>
        <v>Ortodoncia</v>
      </c>
      <c r="C74" s="6">
        <f>=Servicios!$H$74</f>
        <v>12.663903803906251</v>
      </c>
      <c r="D74" s="6">
        <f>=MIN(R$103/Servicios!$O$74,R$115/Servicios!$O$74,IF(Servicios!$E$74&gt;0,Servicios!$E$74,9.99E+99))</f>
        <v>851.1999999999998</v>
      </c>
      <c r="E74" s="6">
        <f>=MIN($C74*MIN(R$105,R$117),$D74)</f>
        <v>12.663903803906251</v>
      </c>
      <c r="F74" s="23">
        <f>=IF($D74&gt;0,$C74/$D74,0)</f>
        <v>0.014877706536544001</v>
      </c>
      <c r="G74" s="25" t="str">
        <f>=IF($E74&lt;$C74-0.000001,"LIMITADA","")</f>
        <v/>
      </c>
    </row>
    <row r="75">
      <c r="A75" s="13">
        <f>=Servicios!$A$75</f>
        <v>8</v>
      </c>
      <c r="B75" s="25" t="str">
        <f>=Servicios!$B$75</f>
        <v>Imagenología dental</v>
      </c>
      <c r="C75" s="6">
        <f>=Servicios!$H$75</f>
        <v>182.92305494531254</v>
      </c>
      <c r="D75" s="6">
        <f>=MIN(R$107/Servicios!$O$75,R$115/Servicios!$O$75,IF(Servicios!$E$75&gt;0,Servicios!$E$75,9.99E+99))</f>
        <v>777.6</v>
      </c>
      <c r="E75" s="6">
        <f>=MIN($C75*MIN(R$109,R$117),$D75)</f>
        <v>182.92305494531254</v>
      </c>
      <c r="F75" s="23">
        <f>=IF($D75&gt;0,$C75/$D75,0)</f>
        <v>0.2352405541992188</v>
      </c>
      <c r="G75" s="25" t="str">
        <f>=IF($E75&lt;$C75-0.000001,"LIMITADA","")</f>
        <v/>
      </c>
    </row>
    <row r="76">
      <c r="A76" s="13">
        <f>=Servicios!$A$76</f>
        <v>9</v>
      </c>
      <c r="B76" s="25" t="str">
        <f>=Servicios!$B$76</f>
        <v>Consulta estomatológica</v>
      </c>
      <c r="C76" s="6">
        <f>=Servicios!$H$76</f>
        <v>590.982177515625</v>
      </c>
      <c r="D76" s="6">
        <f>=MIN(S$103/Servicios!$O$76,S$115/Servicios!$O$76,IF(Servicios!$E$76&gt;0,Servicios!$E$76,9.99E+99))</f>
        <v>2553.5999999999995</v>
      </c>
      <c r="E76" s="6">
        <f>=MIN($C76*MIN(S$105,S$117),$D76)</f>
        <v>590.982177515625</v>
      </c>
      <c r="F76" s="23">
        <f>=IF($D76&gt;0,$C76/$D76,0)</f>
        <v>0.23143099056846222</v>
      </c>
      <c r="G76" s="25" t="str">
        <f>=IF($E76&lt;$C76-0.000001,"LIMITADA","")</f>
        <v/>
      </c>
    </row>
    <row r="77">
      <c r="A77" s="13">
        <f>=Servicios!$A$77</f>
        <v>9</v>
      </c>
      <c r="B77" s="25" t="str">
        <f>=Servicios!$B$77</f>
        <v>Odontología preventiva (profilaxis y sellado)</v>
      </c>
      <c r="C77" s="6">
        <f>=Servicios!$H$77</f>
        <v>236.39287100625</v>
      </c>
      <c r="D77" s="6">
        <f>=MIN(S$103/Servicios!$O$77,S$115/Servicios!$O$77,IF(Servicios!$E$77&gt;0,Servicios!$E$77,9.99E+99))</f>
        <v>1915.1999999999996</v>
      </c>
      <c r="E77" s="6">
        <f>=MIN($C77*MIN(S$105,S$117),$D77)</f>
        <v>236.39287100625</v>
      </c>
      <c r="F77" s="23">
        <f>=IF($D77&gt;0,$C77/$D77,0)</f>
        <v>0.12342986163651319</v>
      </c>
      <c r="G77" s="25" t="str">
        <f>=IF($E77&lt;$C77-0.000001,"LIMITADA","")</f>
        <v/>
      </c>
    </row>
    <row r="78">
      <c r="A78" s="13">
        <f>=Servicios!$A$78</f>
        <v>9</v>
      </c>
      <c r="B78" s="25" t="str">
        <f>=Servicios!$B$78</f>
        <v>Restauraciones (obturaciones)</v>
      </c>
      <c r="C78" s="6">
        <f>=Servicios!$H$78</f>
        <v>325.0401976335938</v>
      </c>
      <c r="D78" s="6">
        <f>=MIN(S$103/Servicios!$O$78,S$115/Servicios!$O$78,IF(Servicios!$E$78&gt;0,Servicios!$E$78,9.99E+99))</f>
        <v>1702.3999999999996</v>
      </c>
      <c r="E78" s="6">
        <f>=MIN($C78*MIN(S$105,S$117),$D78)</f>
        <v>325.0401976335938</v>
      </c>
      <c r="F78" s="23">
        <f>=IF($D78&gt;0,$C78/$D78,0)</f>
        <v>0.19093056721898136</v>
      </c>
      <c r="G78" s="25" t="str">
        <f>=IF($E78&lt;$C78-0.000001,"LIMITADA","")</f>
        <v/>
      </c>
    </row>
    <row r="79">
      <c r="A79" s="13">
        <f>=Servicios!$A$79</f>
        <v>9</v>
      </c>
      <c r="B79" s="25" t="str">
        <f>=Servicios!$B$79</f>
        <v>Endodoncia</v>
      </c>
      <c r="C79" s="6">
        <f>=Servicios!$H$79</f>
        <v>103.42188106523437</v>
      </c>
      <c r="D79" s="6">
        <f>=MIN(S$103/Servicios!$O$79,S$115/Servicios!$O$79,IF(Servicios!$E$79&gt;0,Servicios!$E$79,9.99E+99))</f>
        <v>1276.7999999999997</v>
      </c>
      <c r="E79" s="6">
        <f>=MIN($C79*MIN(S$105,S$117),$D79)</f>
        <v>103.42188106523437</v>
      </c>
      <c r="F79" s="23">
        <f>=IF($D79&gt;0,$C79/$D79,0)</f>
        <v>0.08100084669896178</v>
      </c>
      <c r="G79" s="25" t="str">
        <f>=IF($E79&lt;$C79-0.000001,"LIMITADA","")</f>
        <v/>
      </c>
    </row>
    <row r="80">
      <c r="A80" s="13">
        <f>=Servicios!$A$80</f>
        <v>9</v>
      </c>
      <c r="B80" s="25" t="str">
        <f>=Servicios!$B$80</f>
        <v>Periodoncia</v>
      </c>
      <c r="C80" s="6">
        <f>=Servicios!$H$80</f>
        <v>88.64732662734376</v>
      </c>
      <c r="D80" s="6">
        <f>=MIN(S$103/Servicios!$O$80,S$115/Servicios!$O$80,IF(Servicios!$E$80&gt;0,Servicios!$E$80,9.99E+99))</f>
        <v>1532.1599999999996</v>
      </c>
      <c r="E80" s="6">
        <f>=MIN($C80*MIN(S$105,S$117),$D80)</f>
        <v>88.64732662734376</v>
      </c>
      <c r="F80" s="23">
        <f>=IF($D80&gt;0,$C80/$D80,0)</f>
        <v>0.05785774764211556</v>
      </c>
      <c r="G80" s="25" t="str">
        <f>=IF($E80&lt;$C80-0.000001,"LIMITADA","")</f>
        <v/>
      </c>
    </row>
    <row r="81">
      <c r="A81" s="13">
        <f>=Servicios!$A$81</f>
        <v>9</v>
      </c>
      <c r="B81" s="25" t="str">
        <f>=Servicios!$B$81</f>
        <v>Cirugía oral</v>
      </c>
      <c r="C81" s="6">
        <f>=Servicios!$H$81</f>
        <v>51.71094053261719</v>
      </c>
      <c r="D81" s="6">
        <f>=MIN(S$103/Servicios!$O$81,S$115/Servicios!$O$81,IF(Servicios!$E$81&gt;0,Servicios!$E$81,9.99E+99))</f>
        <v>1276.7999999999997</v>
      </c>
      <c r="E81" s="6">
        <f>=MIN($C81*MIN(S$105,S$117),$D81)</f>
        <v>51.71094053261719</v>
      </c>
      <c r="F81" s="23">
        <f>=IF($D81&gt;0,$C81/$D81,0)</f>
        <v>0.04050042334948089</v>
      </c>
      <c r="G81" s="25" t="str">
        <f>=IF($E81&lt;$C81-0.000001,"LIMITADA","")</f>
        <v/>
      </c>
    </row>
    <row r="82">
      <c r="A82" s="13">
        <f>=Servicios!$A$82</f>
        <v>9</v>
      </c>
      <c r="B82" s="25" t="str">
        <f>=Servicios!$B$82</f>
        <v>Prótesis estomatológica</v>
      </c>
      <c r="C82" s="6">
        <f>=Servicios!$H$82</f>
        <v>41.36875242609375</v>
      </c>
      <c r="D82" s="6">
        <f>=MIN(S$111/Servicios!$O$82,S$115/Servicios!$O$82,IF(Servicios!$E$82&gt;0,Servicios!$E$82,9.99E+99))</f>
        <v>91.2</v>
      </c>
      <c r="E82" s="6">
        <f>=MIN($C82*MIN(S$113,S$117),$D82)</f>
        <v>41.36875242609375</v>
      </c>
      <c r="F82" s="23">
        <f>=IF($D82&gt;0,$C82/$D82,0)</f>
        <v>0.45360474151418584</v>
      </c>
      <c r="G82" s="25" t="str">
        <f>=IF($E82&lt;$C82-0.000001,"LIMITADA","")</f>
        <v/>
      </c>
    </row>
    <row r="83">
      <c r="A83" s="13">
        <f>=Servicios!$A$83</f>
        <v>9</v>
      </c>
      <c r="B83" s="25" t="str">
        <f>=Servicios!$B$83</f>
        <v>Ortodoncia</v>
      </c>
      <c r="C83" s="6">
        <f>=Servicios!$H$83</f>
        <v>13.297098994101564</v>
      </c>
      <c r="D83" s="6">
        <f>=MIN(S$103/Servicios!$O$83,S$115/Servicios!$O$83,IF(Servicios!$E$83&gt;0,Servicios!$E$83,9.99E+99))</f>
        <v>851.1999999999998</v>
      </c>
      <c r="E83" s="6">
        <f>=MIN($C83*MIN(S$105,S$117),$D83)</f>
        <v>13.297098994101564</v>
      </c>
      <c r="F83" s="23">
        <f>=IF($D83&gt;0,$C83/$D83,0)</f>
        <v>0.015621591863371202</v>
      </c>
      <c r="G83" s="25" t="str">
        <f>=IF($E83&lt;$C83-0.000001,"LIMITADA","")</f>
        <v/>
      </c>
    </row>
    <row r="84">
      <c r="A84" s="13">
        <f>=Servicios!$A$84</f>
        <v>9</v>
      </c>
      <c r="B84" s="25" t="str">
        <f>=Servicios!$B$84</f>
        <v>Imagenología dental</v>
      </c>
      <c r="C84" s="6">
        <f>=Servicios!$H$84</f>
        <v>192.06920769257815</v>
      </c>
      <c r="D84" s="6">
        <f>=MIN(S$107/Servicios!$O$84,S$115/Servicios!$O$84,IF(Servicios!$E$84&gt;0,Servicios!$E$84,9.99E+99))</f>
        <v>777.6</v>
      </c>
      <c r="E84" s="6">
        <f>=MIN($C84*MIN(S$109,S$117),$D84)</f>
        <v>192.06920769257815</v>
      </c>
      <c r="F84" s="23">
        <f>=IF($D84&gt;0,$C84/$D84,0)</f>
        <v>0.2470025819091797</v>
      </c>
      <c r="G84" s="25" t="str">
        <f>=IF($E84&lt;$C84-0.000001,"LIMITADA","")</f>
        <v/>
      </c>
    </row>
    <row r="85">
      <c r="A85" s="13">
        <f>=Servicios!$A$85</f>
        <v>10</v>
      </c>
      <c r="B85" s="25" t="str">
        <f>=Servicios!$B$85</f>
        <v>Consulta estomatológica</v>
      </c>
      <c r="C85" s="6">
        <f>=Servicios!$H$85</f>
        <v>620.5312863914063</v>
      </c>
      <c r="D85" s="6">
        <f>=MIN(T$103/Servicios!$O$85,T$115/Servicios!$O$85,IF(Servicios!$E$85&gt;0,Servicios!$E$85,9.99E+99))</f>
        <v>2553.5999999999995</v>
      </c>
      <c r="E85" s="6">
        <f>=MIN($C85*MIN(T$105,T$117),$D85)</f>
        <v>620.5312863914063</v>
      </c>
      <c r="F85" s="23">
        <f>=IF($D85&gt;0,$C85/$D85,0)</f>
        <v>0.24300254009688535</v>
      </c>
      <c r="G85" s="25" t="str">
        <f>=IF($E85&lt;$C85-0.000001,"LIMITADA","")</f>
        <v/>
      </c>
    </row>
    <row r="86">
      <c r="A86" s="13">
        <f>=Servicios!$A$86</f>
        <v>10</v>
      </c>
      <c r="B86" s="25" t="str">
        <f>=Servicios!$B$86</f>
        <v>Odontología preventiva (profilaxis y sellado)</v>
      </c>
      <c r="C86" s="6">
        <f>=Servicios!$H$86</f>
        <v>248.21251455656252</v>
      </c>
      <c r="D86" s="6">
        <f>=MIN(T$103/Servicios!$O$86,T$115/Servicios!$O$86,IF(Servicios!$E$86&gt;0,Servicios!$E$86,9.99E+99))</f>
        <v>1915.1999999999996</v>
      </c>
      <c r="E86" s="6">
        <f>=MIN($C86*MIN(T$105,T$117),$D86)</f>
        <v>248.21251455656252</v>
      </c>
      <c r="F86" s="23">
        <f>=IF($D86&gt;0,$C86/$D86,0)</f>
        <v>0.12960135471833886</v>
      </c>
      <c r="G86" s="25" t="str">
        <f>=IF($E86&lt;$C86-0.000001,"LIMITADA","")</f>
        <v/>
      </c>
    </row>
    <row r="87">
      <c r="A87" s="13">
        <f>=Servicios!$A$87</f>
        <v>10</v>
      </c>
      <c r="B87" s="25" t="str">
        <f>=Servicios!$B$87</f>
        <v>Restauraciones (obturaciones)</v>
      </c>
      <c r="C87" s="6">
        <f>=Servicios!$H$87</f>
        <v>341.29220751527345</v>
      </c>
      <c r="D87" s="6">
        <f>=MIN(T$103/Servicios!$O$87,T$115/Servicios!$O$87,IF(Servicios!$E$87&gt;0,Servicios!$E$87,9.99E+99))</f>
        <v>1702.3999999999996</v>
      </c>
      <c r="E87" s="6">
        <f>=MIN($C87*MIN(T$105,T$117),$D87)</f>
        <v>341.29220751527345</v>
      </c>
      <c r="F87" s="23">
        <f>=IF($D87&gt;0,$C87/$D87,0)</f>
        <v>0.2004770955799304</v>
      </c>
      <c r="G87" s="25" t="str">
        <f>=IF($E87&lt;$C87-0.000001,"LIMITADA","")</f>
        <v/>
      </c>
    </row>
    <row r="88">
      <c r="A88" s="13">
        <f>=Servicios!$A$88</f>
        <v>10</v>
      </c>
      <c r="B88" s="25" t="str">
        <f>=Servicios!$B$88</f>
        <v>Endodoncia</v>
      </c>
      <c r="C88" s="6">
        <f>=Servicios!$H$88</f>
        <v>108.5929751184961</v>
      </c>
      <c r="D88" s="6">
        <f>=MIN(T$103/Servicios!$O$88,T$115/Servicios!$O$88,IF(Servicios!$E$88&gt;0,Servicios!$E$88,9.99E+99))</f>
        <v>1276.7999999999997</v>
      </c>
      <c r="E88" s="6">
        <f>=MIN($C88*MIN(T$105,T$117),$D88)</f>
        <v>108.5929751184961</v>
      </c>
      <c r="F88" s="23">
        <f>=IF($D88&gt;0,$C88/$D88,0)</f>
        <v>0.08505088903390987</v>
      </c>
      <c r="G88" s="25" t="str">
        <f>=IF($E88&lt;$C88-0.000001,"LIMITADA","")</f>
        <v/>
      </c>
    </row>
    <row r="89">
      <c r="A89" s="13">
        <f>=Servicios!$A$89</f>
        <v>10</v>
      </c>
      <c r="B89" s="25" t="str">
        <f>=Servicios!$B$89</f>
        <v>Periodoncia</v>
      </c>
      <c r="C89" s="6">
        <f>=Servicios!$H$89</f>
        <v>93.07969295871095</v>
      </c>
      <c r="D89" s="6">
        <f>=MIN(T$103/Servicios!$O$89,T$115/Servicios!$O$89,IF(Servicios!$E$89&gt;0,Servicios!$E$89,9.99E+99))</f>
        <v>1532.1599999999996</v>
      </c>
      <c r="E89" s="6">
        <f>=MIN($C89*MIN(T$105,T$117),$D89)</f>
        <v>93.07969295871095</v>
      </c>
      <c r="F89" s="23">
        <f>=IF($D89&gt;0,$C89/$D89,0)</f>
        <v>0.060750635024221344</v>
      </c>
      <c r="G89" s="25" t="str">
        <f>=IF($E89&lt;$C89-0.000001,"LIMITADA","")</f>
        <v/>
      </c>
    </row>
    <row r="90">
      <c r="A90" s="13">
        <f>=Servicios!$A$90</f>
        <v>10</v>
      </c>
      <c r="B90" s="25" t="str">
        <f>=Servicios!$B$90</f>
        <v>Cirugía oral</v>
      </c>
      <c r="C90" s="6">
        <f>=Servicios!$H$90</f>
        <v>54.29648755924805</v>
      </c>
      <c r="D90" s="6">
        <f>=MIN(T$103/Servicios!$O$90,T$115/Servicios!$O$90,IF(Servicios!$E$90&gt;0,Servicios!$E$90,9.99E+99))</f>
        <v>1276.7999999999997</v>
      </c>
      <c r="E90" s="6">
        <f>=MIN($C90*MIN(T$105,T$117),$D90)</f>
        <v>54.29648755924805</v>
      </c>
      <c r="F90" s="23">
        <f>=IF($D90&gt;0,$C90/$D90,0)</f>
        <v>0.04252544451695493</v>
      </c>
      <c r="G90" s="25" t="str">
        <f>=IF($E90&lt;$C90-0.000001,"LIMITADA","")</f>
        <v/>
      </c>
    </row>
    <row r="91">
      <c r="A91" s="13">
        <f>=Servicios!$A$91</f>
        <v>10</v>
      </c>
      <c r="B91" s="25" t="str">
        <f>=Servicios!$B$91</f>
        <v>Prótesis estomatológica</v>
      </c>
      <c r="C91" s="6">
        <f>=Servicios!$H$91</f>
        <v>43.437190047398445</v>
      </c>
      <c r="D91" s="6">
        <f>=MIN(T$111/Servicios!$O$91,T$115/Servicios!$O$91,IF(Servicios!$E$91&gt;0,Servicios!$E$91,9.99E+99))</f>
        <v>91.2</v>
      </c>
      <c r="E91" s="6">
        <f>=MIN($C91*MIN(T$113,T$117),$D91)</f>
        <v>43.437190047398445</v>
      </c>
      <c r="F91" s="23">
        <f>=IF($D91&gt;0,$C91/$D91,0)</f>
        <v>0.4762849785898952</v>
      </c>
      <c r="G91" s="25" t="str">
        <f>=IF($E91&lt;$C91-0.000001,"LIMITADA","")</f>
        <v/>
      </c>
    </row>
    <row r="92">
      <c r="A92" s="13">
        <f>=Servicios!$A$92</f>
        <v>10</v>
      </c>
      <c r="B92" s="25" t="str">
        <f>=Servicios!$B$92</f>
        <v>Ortodoncia</v>
      </c>
      <c r="C92" s="6">
        <f>=Servicios!$H$92</f>
        <v>13.961953943806641</v>
      </c>
      <c r="D92" s="6">
        <f>=MIN(T$103/Servicios!$O$92,T$115/Servicios!$O$92,IF(Servicios!$E$92&gt;0,Servicios!$E$92,9.99E+99))</f>
        <v>851.1999999999998</v>
      </c>
      <c r="E92" s="6">
        <f>=MIN($C92*MIN(T$105,T$117),$D92)</f>
        <v>13.961953943806641</v>
      </c>
      <c r="F92" s="23">
        <f>=IF($D92&gt;0,$C92/$D92,0)</f>
        <v>0.01640267145653976</v>
      </c>
      <c r="G92" s="25" t="str">
        <f>=IF($E92&lt;$C92-0.000001,"LIMITADA","")</f>
        <v/>
      </c>
    </row>
    <row r="93">
      <c r="A93" s="13">
        <f>=Servicios!$A$93</f>
        <v>10</v>
      </c>
      <c r="B93" s="25" t="str">
        <f>=Servicios!$B$93</f>
        <v>Imagenología dental</v>
      </c>
      <c r="C93" s="6">
        <f>=Servicios!$H$93</f>
        <v>201.67266807720705</v>
      </c>
      <c r="D93" s="6">
        <f>=MIN(T$107/Servicios!$O$93,T$115/Servicios!$O$93,IF(Servicios!$E$93&gt;0,Servicios!$E$93,9.99E+99))</f>
        <v>777.6</v>
      </c>
      <c r="E93" s="6">
        <f>=MIN($C93*MIN(T$109,T$117),$D93)</f>
        <v>201.67266807720705</v>
      </c>
      <c r="F93" s="23">
        <f>=IF($D93&gt;0,$C93/$D93,0)</f>
        <v>0.2593527110046387</v>
      </c>
      <c r="G93" s="25" t="str">
        <f>=IF($E93&lt;$C93-0.000001,"LIMITADA","")</f>
        <v/>
      </c>
    </row>
    <row r="96">
      <c r="A96" s="12" t="str">
        <v>Recurso</v>
      </c>
      <c r="B96" s="12" t="str">
        <v>Tipo</v>
      </c>
      <c r="C96" s="12" t="str">
        <v>Cantidad</v>
      </c>
      <c r="D96" s="12" t="str">
        <v>Horas/día</v>
      </c>
      <c r="E96" s="12" t="str">
        <v>Días/año</v>
      </c>
      <c r="F96" s="12" t="str">
        <v>Mantenimiento %</v>
      </c>
      <c r="G96" s="12" t="str">
        <v>Disponible desde año</v>
      </c>
      <c r="H96" s="12" t="str">
        <v>Observación</v>
      </c>
    </row>
    <row r="97">
      <c r="A97" s="26" t="str">
        <v>Gabinetes de atención (sillones)</v>
      </c>
      <c r="B97" s="26" t="str">
        <v>gabinete</v>
      </c>
      <c r="C97" s="19">
        <v>5</v>
      </c>
      <c r="D97" s="18">
        <v>8</v>
      </c>
      <c r="E97" s="19">
        <v>288</v>
      </c>
      <c r="F97" s="17">
        <v>0.05</v>
      </c>
      <c r="G97" s="19">
        <v>1</v>
      </c>
      <c r="H97" s="2" t="str">
        <v>Sillones/posiciones compartidos por todas las líneas clínicas (supuesto ficticio).</v>
      </c>
    </row>
    <row r="98">
      <c r="A98" s="19" t="str">
        <v>Equipos de imagenología dental</v>
      </c>
      <c r="B98" s="19" t="str">
        <v>equipo</v>
      </c>
      <c r="C98" s="19">
        <v>2</v>
      </c>
      <c r="D98" s="18">
        <v>6</v>
      </c>
      <c r="E98" s="19">
        <v>288</v>
      </c>
      <c r="F98" s="17">
        <v>0.1</v>
      </c>
      <c r="G98" s="19">
        <v>1</v>
      </c>
      <c r="H98" s="2" t="str">
        <v>Radiografía panorámica/periapical (supuesto ficticio).</v>
      </c>
    </row>
    <row r="99">
      <c r="A99" s="19" t="str">
        <v>Laboratorio de prótesis</v>
      </c>
      <c r="B99" s="19" t="str">
        <v>local</v>
      </c>
      <c r="C99" s="19">
        <v>1</v>
      </c>
      <c r="D99" s="18">
        <v>6</v>
      </c>
      <c r="E99" s="19">
        <v>288</v>
      </c>
      <c r="F99" s="17">
        <v>0.05</v>
      </c>
      <c r="G99" s="19">
        <v>1</v>
      </c>
      <c r="H99" s="2" t="str">
        <v>Posición de trabajo del laboratorio (supuesto ficticio).</v>
      </c>
    </row>
    <row r="100">
      <c r="A100" s="19" t="str">
        <v>Profesionales estomatológicos</v>
      </c>
      <c r="B100" s="19" t="str">
        <v>profesional</v>
      </c>
      <c r="C100" s="19">
        <v>12</v>
      </c>
      <c r="D100" s="18">
        <v>6</v>
      </c>
      <c r="E100" s="19">
        <v>288</v>
      </c>
      <c r="F100" s="17">
        <v>0.05</v>
      </c>
      <c r="G100" s="19">
        <v>1</v>
      </c>
      <c r="H100" s="2" t="str">
        <v>Estomatólogos e higienistas; el personal de administración no limita la capacidad clínica (supuesto ficticio).</v>
      </c>
    </row>
    <row r="102">
      <c r="A102" s="3" t="str">
        <v>Minutos-mes disponibles, demandados, escala pro-rata y utilización por recurso</v>
      </c>
      <c r="I102" s="12" t="str">
        <v>Minutos-mes por recurso y año (I = año 0)</v>
      </c>
    </row>
    <row r="103">
      <c r="B103" s="22" t="str">
        <v>Gabinetes de atención (sillones) — minutos-mes disponibles</v>
      </c>
      <c r="I103" s="12" t="str">
        <v>Año 0</v>
      </c>
      <c r="J103" s="6">
        <f>=IF(J$103&gt;=$G$97,($C$97+IF(J$103&gt;=7,2,0))*$D$97*$E$97*(1-$F$97)*60/12,0)</f>
        <v>0</v>
      </c>
      <c r="K103" s="6">
        <f>=IF(K$103&gt;=$G$97,($C$97+IF(K$103&gt;=7,2,0))*$D$97*$E$97*(1-$F$97)*60/12,0)</f>
        <v>54720</v>
      </c>
      <c r="L103" s="6">
        <f>=IF(L$103&gt;=$G$97,($C$97+IF(L$103&gt;=7,2,0))*$D$97*$E$97*(1-$F$97)*60/12,0)</f>
        <v>54720</v>
      </c>
      <c r="M103" s="6">
        <f>=IF(M$103&gt;=$G$97,($C$97+IF(M$103&gt;=7,2,0))*$D$97*$E$97*(1-$F$97)*60/12,0)</f>
        <v>54720</v>
      </c>
      <c r="N103" s="6">
        <f>=IF(N$103&gt;=$G$97,($C$97+IF(N$103&gt;=7,2,0))*$D$97*$E$97*(1-$F$97)*60/12,0)</f>
        <v>54720</v>
      </c>
      <c r="O103" s="6">
        <f>=IF(O$103&gt;=$G$97,($C$97+IF(O$103&gt;=7,2,0))*$D$97*$E$97*(1-$F$97)*60/12,0)</f>
        <v>54720</v>
      </c>
      <c r="P103" s="6">
        <f>=IF(P$103&gt;=$G$97,($C$97+IF(P$103&gt;=7,2,0))*$D$97*$E$97*(1-$F$97)*60/12,0)</f>
        <v>54720</v>
      </c>
      <c r="Q103" s="6">
        <f>=IF(Q$103&gt;=$G$97,($C$97+IF(Q$103&gt;=7,2,0))*$D$97*$E$97*(1-$F$97)*60/12,0)</f>
        <v>76608</v>
      </c>
      <c r="R103" s="6">
        <f>=IF(R$103&gt;=$G$97,($C$97+IF(R$103&gt;=7,2,0))*$D$97*$E$97*(1-$F$97)*60/12,0)</f>
        <v>76608</v>
      </c>
      <c r="S103" s="6">
        <f>=IF(S$103&gt;=$G$97,($C$97+IF(S$103&gt;=7,2,0))*$D$97*$E$97*(1-$F$97)*60/12,0)</f>
        <v>76608</v>
      </c>
      <c r="T103" s="6">
        <f>=IF(T$103&gt;=$G$97,($C$97+IF(T$103&gt;=7,2,0))*$D$97*$E$97*(1-$F$97)*60/12,0)</f>
        <v>76608</v>
      </c>
    </row>
    <row r="104">
      <c r="B104" s="2" t="str">
        <v>Gabinetes de atención (sillones) — minutos-mes demandados</v>
      </c>
      <c r="J104" s="6">
        <f>=0</f>
        <v>0</v>
      </c>
      <c r="K104" s="6">
        <f>=SUMPRODUCT((Servicios!$A$4:$A$93=K$103)*Servicios!$H$4:$H$93*Servicios!$O$4:$O$93*Servicios!$Q$4:$Q$93})</f>
        <v>38410</v>
      </c>
      <c r="L104" s="6">
        <f>=SUMPRODUCT((Servicios!$A$4:$A$93=L$103)*Servicios!$H$4:$H$93*Servicios!$O$4:$O$93*Servicios!$Q$4:$Q$93})</f>
        <v>40330.5</v>
      </c>
      <c r="M104" s="6">
        <f>=SUMPRODUCT((Servicios!$A$4:$A$93=M$103)*Servicios!$H$4:$H$93*Servicios!$O$4:$O$93*Servicios!$Q$4:$Q$93})</f>
        <v>42347.025</v>
      </c>
      <c r="N104" s="6">
        <f>=SUMPRODUCT((Servicios!$A$4:$A$93=N$103)*Servicios!$H$4:$H$93*Servicios!$O$4:$O$93*Servicios!$Q$4:$Q$93})</f>
        <v>44464.37625</v>
      </c>
      <c r="O104" s="6">
        <f>=SUMPRODUCT((Servicios!$A$4:$A$93=O$103)*Servicios!$H$4:$H$93*Servicios!$O$4:$O$93*Servicios!$Q$4:$Q$93})</f>
        <v>46687.595062500004</v>
      </c>
      <c r="P104" s="6">
        <f>=SUMPRODUCT((Servicios!$A$4:$A$93=P$103)*Servicios!$H$4:$H$93*Servicios!$O$4:$O$93*Servicios!$Q$4:$Q$93})</f>
        <v>49021.974815625006</v>
      </c>
      <c r="Q104" s="6">
        <f>=SUMPRODUCT((Servicios!$A$4:$A$93=Q$103)*Servicios!$H$4:$H$93*Servicios!$O$4:$O$93*Servicios!$Q$4:$Q$93})</f>
        <v>51473.07355640625</v>
      </c>
      <c r="R104" s="6">
        <f>=SUMPRODUCT((Servicios!$A$4:$A$93=R$103)*Servicios!$H$4:$H$93*Servicios!$O$4:$O$93*Servicios!$Q$4:$Q$93})</f>
        <v>54046.72723422657</v>
      </c>
      <c r="S104" s="6">
        <f>=SUMPRODUCT((Servicios!$A$4:$A$93=S$103)*Servicios!$H$4:$H$93*Servicios!$O$4:$O$93*Servicios!$Q$4:$Q$93})</f>
        <v>56749.06359593789</v>
      </c>
      <c r="T104" s="6">
        <f>=SUMPRODUCT((Servicios!$A$4:$A$93=T$103)*Servicios!$H$4:$H$93*Servicios!$O$4:$O$93*Servicios!$Q$4:$Q$93})</f>
        <v>59586.51677573479</v>
      </c>
    </row>
    <row r="105">
      <c r="B105" s="2" t="str">
        <v>Gabinetes de atención (sillones) — escala pro-rata</v>
      </c>
      <c r="J105" s="27">
        <f>=IF($J104&gt;$J103,$J103/$J104,1)</f>
        <v>1</v>
      </c>
      <c r="K105" s="27">
        <f>=IF($K104&gt;$K103,$K103/$K104,1)</f>
        <v>1</v>
      </c>
      <c r="L105" s="27">
        <f>=IF($L104&gt;$L103,$L103/$L104,1)</f>
        <v>1</v>
      </c>
      <c r="M105" s="27">
        <f>=IF($M104&gt;$M103,$M103/$M104,1)</f>
        <v>1</v>
      </c>
      <c r="N105" s="27">
        <f>=IF($N104&gt;$N103,$N103/$N104,1)</f>
        <v>1</v>
      </c>
      <c r="O105" s="27">
        <f>=IF($O104&gt;$O103,$O103/$O104,1)</f>
        <v>1</v>
      </c>
      <c r="P105" s="27">
        <f>=IF($P104&gt;$P103,$P103/$P104,1)</f>
        <v>1</v>
      </c>
      <c r="Q105" s="27">
        <f>=IF($Q104&gt;$Q103,$Q103/$Q104,1)</f>
        <v>1</v>
      </c>
      <c r="R105" s="27">
        <f>=IF($R104&gt;$R103,$R103/$R104,1)</f>
        <v>1</v>
      </c>
      <c r="S105" s="27">
        <f>=IF($S104&gt;$S103,$S103/$S104,1)</f>
        <v>1</v>
      </c>
      <c r="T105" s="27">
        <f>=IF($T104&gt;$T103,$T103/$T104,1)</f>
        <v>1</v>
      </c>
    </row>
    <row r="106">
      <c r="B106" s="2" t="str">
        <v>Gabinetes de atención (sillones) — utilización</v>
      </c>
      <c r="J106" s="23">
        <f>=0</f>
        <v>0</v>
      </c>
      <c r="K106" s="23">
        <f>=$K104/$K103</f>
        <v>0.7019371345029239</v>
      </c>
      <c r="L106" s="23">
        <f>=$L104/$L103</f>
        <v>0.7370339912280702</v>
      </c>
      <c r="M106" s="23">
        <f>=$M104/$M103</f>
        <v>0.7738856907894737</v>
      </c>
      <c r="N106" s="23">
        <f>=$N104/$N103</f>
        <v>0.8125799753289474</v>
      </c>
      <c r="O106" s="23">
        <f>=$O104/$O103</f>
        <v>0.8532089740953949</v>
      </c>
      <c r="P106" s="23">
        <f>=$P104/$P103</f>
        <v>0.8958694228001646</v>
      </c>
      <c r="Q106" s="23">
        <f>=$Q104/$Q103</f>
        <v>0.6719020671001235</v>
      </c>
      <c r="R106" s="23">
        <f>=$R104/$R103</f>
        <v>0.7054971704551297</v>
      </c>
      <c r="S106" s="23">
        <f>=$S104/$S103</f>
        <v>0.7407720289778862</v>
      </c>
      <c r="T106" s="23">
        <f>=$T104/$T103</f>
        <v>0.7778106304267804</v>
      </c>
    </row>
    <row r="107">
      <c r="B107" s="22" t="str">
        <v>Equipos de imagenología dental — minutos-mes disponibles</v>
      </c>
      <c r="J107" s="6">
        <f>=IF(J$103&gt;=$G$98,($C$98)*$D$98*$E$98*(1-$F$98)*60/12,0)</f>
        <v>0</v>
      </c>
      <c r="K107" s="6">
        <f>=IF(K$103&gt;=$G$98,($C$98)*$D$98*$E$98*(1-$F$98)*60/12,0)</f>
        <v>15552</v>
      </c>
      <c r="L107" s="6">
        <f>=IF(L$103&gt;=$G$98,($C$98)*$D$98*$E$98*(1-$F$98)*60/12,0)</f>
        <v>15552</v>
      </c>
      <c r="M107" s="6">
        <f>=IF(M$103&gt;=$G$98,($C$98)*$D$98*$E$98*(1-$F$98)*60/12,0)</f>
        <v>15552</v>
      </c>
      <c r="N107" s="6">
        <f>=IF(N$103&gt;=$G$98,($C$98)*$D$98*$E$98*(1-$F$98)*60/12,0)</f>
        <v>15552</v>
      </c>
      <c r="O107" s="6">
        <f>=IF(O$103&gt;=$G$98,($C$98)*$D$98*$E$98*(1-$F$98)*60/12,0)</f>
        <v>15552</v>
      </c>
      <c r="P107" s="6">
        <f>=IF(P$103&gt;=$G$98,($C$98)*$D$98*$E$98*(1-$F$98)*60/12,0)</f>
        <v>15552</v>
      </c>
      <c r="Q107" s="6">
        <f>=IF(Q$103&gt;=$G$98,($C$98)*$D$98*$E$98*(1-$F$98)*60/12,0)</f>
        <v>15552</v>
      </c>
      <c r="R107" s="6">
        <f>=IF(R$103&gt;=$G$98,($C$98)*$D$98*$E$98*(1-$F$98)*60/12,0)</f>
        <v>15552</v>
      </c>
      <c r="S107" s="6">
        <f>=IF(S$103&gt;=$G$98,($C$98)*$D$98*$E$98*(1-$F$98)*60/12,0)</f>
        <v>15552</v>
      </c>
      <c r="T107" s="6">
        <f>=IF(T$103&gt;=$G$98,($C$98)*$D$98*$E$98*(1-$F$98)*60/12,0)</f>
        <v>15552</v>
      </c>
    </row>
    <row r="108">
      <c r="B108" s="2" t="str">
        <v>Equipos de imagenología dental — minutos-mes demandados</v>
      </c>
      <c r="J108" s="6">
        <f>=0</f>
        <v>0</v>
      </c>
      <c r="K108" s="6">
        <f>=SUMPRODUCT((Servicios!$A$4:$A$93=K$103)*Servicios!$H$4:$H$93*Servicios!$O$4:$O$93*Servicios!$R$4:$R$93})</f>
        <v>2600</v>
      </c>
      <c r="L108" s="6">
        <f>=SUMPRODUCT((Servicios!$A$4:$A$93=L$103)*Servicios!$H$4:$H$93*Servicios!$O$4:$O$93*Servicios!$R$4:$R$93})</f>
        <v>2730</v>
      </c>
      <c r="M108" s="6">
        <f>=SUMPRODUCT((Servicios!$A$4:$A$93=M$103)*Servicios!$H$4:$H$93*Servicios!$O$4:$O$93*Servicios!$R$4:$R$93})</f>
        <v>2866.5000000000005</v>
      </c>
      <c r="N108" s="6">
        <f>=SUMPRODUCT((Servicios!$A$4:$A$93=N$103)*Servicios!$H$4:$H$93*Servicios!$O$4:$O$93*Servicios!$R$4:$R$93})</f>
        <v>3009.8250000000003</v>
      </c>
      <c r="O108" s="6">
        <f>=SUMPRODUCT((Servicios!$A$4:$A$93=O$103)*Servicios!$H$4:$H$93*Servicios!$O$4:$O$93*Servicios!$R$4:$R$93})</f>
        <v>3160.3162500000003</v>
      </c>
      <c r="P108" s="6">
        <f>=SUMPRODUCT((Servicios!$A$4:$A$93=P$103)*Servicios!$H$4:$H$93*Servicios!$O$4:$O$93*Servicios!$R$4:$R$93})</f>
        <v>3318.3320625000006</v>
      </c>
      <c r="Q108" s="6">
        <f>=SUMPRODUCT((Servicios!$A$4:$A$93=Q$103)*Servicios!$H$4:$H$93*Servicios!$O$4:$O$93*Servicios!$R$4:$R$93})</f>
        <v>3484.248665625</v>
      </c>
      <c r="R108" s="6">
        <f>=SUMPRODUCT((Servicios!$A$4:$A$93=R$103)*Servicios!$H$4:$H$93*Servicios!$O$4:$O$93*Servicios!$R$4:$R$93})</f>
        <v>3658.4610989062508</v>
      </c>
      <c r="S108" s="6">
        <f>=SUMPRODUCT((Servicios!$A$4:$A$93=S$103)*Servicios!$H$4:$H$93*Servicios!$O$4:$O$93*Servicios!$R$4:$R$93})</f>
        <v>3841.3841538515626</v>
      </c>
      <c r="T108" s="6">
        <f>=SUMPRODUCT((Servicios!$A$4:$A$93=T$103)*Servicios!$H$4:$H$93*Servicios!$O$4:$O$93*Servicios!$R$4:$R$93})</f>
        <v>4033.453361544141</v>
      </c>
    </row>
    <row r="109">
      <c r="B109" s="2" t="str">
        <v>Equipos de imagenología dental — escala pro-rata</v>
      </c>
      <c r="J109" s="27">
        <f>=IF($J108&gt;$J107,$J107/$J108,1)</f>
        <v>1</v>
      </c>
      <c r="K109" s="27">
        <f>=IF($K108&gt;$K107,$K107/$K108,1)</f>
        <v>1</v>
      </c>
      <c r="L109" s="27">
        <f>=IF($L108&gt;$L107,$L107/$L108,1)</f>
        <v>1</v>
      </c>
      <c r="M109" s="27">
        <f>=IF($M108&gt;$M107,$M107/$M108,1)</f>
        <v>1</v>
      </c>
      <c r="N109" s="27">
        <f>=IF($N108&gt;$N107,$N107/$N108,1)</f>
        <v>1</v>
      </c>
      <c r="O109" s="27">
        <f>=IF($O108&gt;$O107,$O107/$O108,1)</f>
        <v>1</v>
      </c>
      <c r="P109" s="27">
        <f>=IF($P108&gt;$P107,$P107/$P108,1)</f>
        <v>1</v>
      </c>
      <c r="Q109" s="27">
        <f>=IF($Q108&gt;$Q107,$Q107/$Q108,1)</f>
        <v>1</v>
      </c>
      <c r="R109" s="27">
        <f>=IF($R108&gt;$R107,$R107/$R108,1)</f>
        <v>1</v>
      </c>
      <c r="S109" s="27">
        <f>=IF($S108&gt;$S107,$S107/$S108,1)</f>
        <v>1</v>
      </c>
      <c r="T109" s="27">
        <f>=IF($T108&gt;$T107,$T107/$T108,1)</f>
        <v>1</v>
      </c>
    </row>
    <row r="110">
      <c r="B110" s="2" t="str">
        <v>Equipos de imagenología dental — utilización</v>
      </c>
      <c r="J110" s="23">
        <f>=0</f>
        <v>0</v>
      </c>
      <c r="K110" s="23">
        <f>=$K108/$K107</f>
        <v>0.16718106995884774</v>
      </c>
      <c r="L110" s="23">
        <f>=$L108/$L107</f>
        <v>0.17554012345679013</v>
      </c>
      <c r="M110" s="23">
        <f>=$M108/$M107</f>
        <v>0.18431712962962965</v>
      </c>
      <c r="N110" s="23">
        <f>=$N108/$N107</f>
        <v>0.19353298611111114</v>
      </c>
      <c r="O110" s="23">
        <f>=$O108/$O107</f>
        <v>0.20320963541666667</v>
      </c>
      <c r="P110" s="23">
        <f>=$P108/$P107</f>
        <v>0.21337011718750004</v>
      </c>
      <c r="Q110" s="23">
        <f>=$Q108/$Q107</f>
        <v>0.224038623046875</v>
      </c>
      <c r="R110" s="23">
        <f>=$R108/$R107</f>
        <v>0.2352405541992188</v>
      </c>
      <c r="S110" s="23">
        <f>=$S108/$S107</f>
        <v>0.24700258190917973</v>
      </c>
      <c r="T110" s="23">
        <f>=$T108/$T107</f>
        <v>0.2593527110046387</v>
      </c>
    </row>
    <row r="111">
      <c r="B111" s="22" t="str">
        <v>Laboratorio de prótesis — minutos-mes disponibles</v>
      </c>
      <c r="J111" s="6">
        <f>=IF(J$103&gt;=$G$99,($C$99)*$D$99*$E$99*(1-$F$99)*60/12,0)</f>
        <v>0</v>
      </c>
      <c r="K111" s="6">
        <f>=IF(K$103&gt;=$G$99,($C$99)*$D$99*$E$99*(1-$F$99)*60/12,0)</f>
        <v>8208</v>
      </c>
      <c r="L111" s="6">
        <f>=IF(L$103&gt;=$G$99,($C$99)*$D$99*$E$99*(1-$F$99)*60/12,0)</f>
        <v>8208</v>
      </c>
      <c r="M111" s="6">
        <f>=IF(M$103&gt;=$G$99,($C$99)*$D$99*$E$99*(1-$F$99)*60/12,0)</f>
        <v>8208</v>
      </c>
      <c r="N111" s="6">
        <f>=IF(N$103&gt;=$G$99,($C$99)*$D$99*$E$99*(1-$F$99)*60/12,0)</f>
        <v>8208</v>
      </c>
      <c r="O111" s="6">
        <f>=IF(O$103&gt;=$G$99,($C$99)*$D$99*$E$99*(1-$F$99)*60/12,0)</f>
        <v>8208</v>
      </c>
      <c r="P111" s="6">
        <f>=IF(P$103&gt;=$G$99,($C$99)*$D$99*$E$99*(1-$F$99)*60/12,0)</f>
        <v>8208</v>
      </c>
      <c r="Q111" s="6">
        <f>=IF(Q$103&gt;=$G$99,($C$99)*$D$99*$E$99*(1-$F$99)*60/12,0)</f>
        <v>8208</v>
      </c>
      <c r="R111" s="6">
        <f>=IF(R$103&gt;=$G$99,($C$99)*$D$99*$E$99*(1-$F$99)*60/12,0)</f>
        <v>8208</v>
      </c>
      <c r="S111" s="6">
        <f>=IF(S$103&gt;=$G$99,($C$99)*$D$99*$E$99*(1-$F$99)*60/12,0)</f>
        <v>8208</v>
      </c>
      <c r="T111" s="6">
        <f>=IF(T$103&gt;=$G$99,($C$99)*$D$99*$E$99*(1-$F$99)*60/12,0)</f>
        <v>8208</v>
      </c>
    </row>
    <row r="112">
      <c r="B112" s="2" t="str">
        <v>Laboratorio de prótesis — minutos-mes demandados</v>
      </c>
      <c r="J112" s="6">
        <f>=0</f>
        <v>0</v>
      </c>
      <c r="K112" s="6">
        <f>=SUMPRODUCT((Servicios!$A$4:$A$93=K$103)*Servicios!$H$4:$H$93*Servicios!$O$4:$O$93*Servicios!$S$4:$S$93})</f>
        <v>2520</v>
      </c>
      <c r="L112" s="6">
        <f>=SUMPRODUCT((Servicios!$A$4:$A$93=L$103)*Servicios!$H$4:$H$93*Servicios!$O$4:$O$93*Servicios!$S$4:$S$93})</f>
        <v>2646</v>
      </c>
      <c r="M112" s="6">
        <f>=SUMPRODUCT((Servicios!$A$4:$A$93=M$103)*Servicios!$H$4:$H$93*Servicios!$O$4:$O$93*Servicios!$S$4:$S$93})</f>
        <v>2778.3</v>
      </c>
      <c r="N112" s="6">
        <f>=SUMPRODUCT((Servicios!$A$4:$A$93=N$103)*Servicios!$H$4:$H$93*Servicios!$O$4:$O$93*Servicios!$S$4:$S$93})</f>
        <v>2917.2150000000006</v>
      </c>
      <c r="O112" s="6">
        <f>=SUMPRODUCT((Servicios!$A$4:$A$93=O$103)*Servicios!$H$4:$H$93*Servicios!$O$4:$O$93*Servicios!$S$4:$S$93})</f>
        <v>3063.07575</v>
      </c>
      <c r="P112" s="6">
        <f>=SUMPRODUCT((Servicios!$A$4:$A$93=P$103)*Servicios!$H$4:$H$93*Servicios!$O$4:$O$93*Servicios!$S$4:$S$93})</f>
        <v>3216.229537500001</v>
      </c>
      <c r="Q112" s="6">
        <f>=SUMPRODUCT((Servicios!$A$4:$A$93=Q$103)*Servicios!$H$4:$H$93*Servicios!$O$4:$O$93*Servicios!$S$4:$S$93})</f>
        <v>3377.041014375</v>
      </c>
      <c r="R112" s="6">
        <f>=SUMPRODUCT((Servicios!$A$4:$A$93=R$103)*Servicios!$H$4:$H$93*Servicios!$O$4:$O$93*Servicios!$S$4:$S$93})</f>
        <v>3545.893065093751</v>
      </c>
      <c r="S112" s="6">
        <f>=SUMPRODUCT((Servicios!$A$4:$A$93=S$103)*Servicios!$H$4:$H$93*Servicios!$O$4:$O$93*Servicios!$S$4:$S$93})</f>
        <v>3723.1877183484376</v>
      </c>
      <c r="T112" s="6">
        <f>=SUMPRODUCT((Servicios!$A$4:$A$93=T$103)*Servicios!$H$4:$H$93*Servicios!$O$4:$O$93*Servicios!$S$4:$S$93})</f>
        <v>3909.3471042658603</v>
      </c>
    </row>
    <row r="113">
      <c r="B113" s="2" t="str">
        <v>Laboratorio de prótesis — escala pro-rata</v>
      </c>
      <c r="J113" s="27">
        <f>=IF($J112&gt;$J111,$J111/$J112,1)</f>
        <v>1</v>
      </c>
      <c r="K113" s="27">
        <f>=IF($K112&gt;$K111,$K111/$K112,1)</f>
        <v>1</v>
      </c>
      <c r="L113" s="27">
        <f>=IF($L112&gt;$L111,$L111/$L112,1)</f>
        <v>1</v>
      </c>
      <c r="M113" s="27">
        <f>=IF($M112&gt;$M111,$M111/$M112,1)</f>
        <v>1</v>
      </c>
      <c r="N113" s="27">
        <f>=IF($N112&gt;$N111,$N111/$N112,1)</f>
        <v>1</v>
      </c>
      <c r="O113" s="27">
        <f>=IF($O112&gt;$O111,$O111/$O112,1)</f>
        <v>1</v>
      </c>
      <c r="P113" s="27">
        <f>=IF($P112&gt;$P111,$P111/$P112,1)</f>
        <v>1</v>
      </c>
      <c r="Q113" s="27">
        <f>=IF($Q112&gt;$Q111,$Q111/$Q112,1)</f>
        <v>1</v>
      </c>
      <c r="R113" s="27">
        <f>=IF($R112&gt;$R111,$R111/$R112,1)</f>
        <v>1</v>
      </c>
      <c r="S113" s="27">
        <f>=IF($S112&gt;$S111,$S111/$S112,1)</f>
        <v>1</v>
      </c>
      <c r="T113" s="27">
        <f>=IF($T112&gt;$T111,$T111/$T112,1)</f>
        <v>1</v>
      </c>
    </row>
    <row r="114">
      <c r="B114" s="2" t="str">
        <v>Laboratorio de prótesis — utilización</v>
      </c>
      <c r="J114" s="23">
        <f>=0</f>
        <v>0</v>
      </c>
      <c r="K114" s="23">
        <f>=$K112/$K111</f>
        <v>0.30701754385964913</v>
      </c>
      <c r="L114" s="23">
        <f>=$L112/$L111</f>
        <v>0.3223684210526316</v>
      </c>
      <c r="M114" s="23">
        <f>=$M112/$M111</f>
        <v>0.3384868421052632</v>
      </c>
      <c r="N114" s="23">
        <f>=$N112/$N111</f>
        <v>0.35541118421052637</v>
      </c>
      <c r="O114" s="23">
        <f>=$O112/$O111</f>
        <v>0.37318174342105265</v>
      </c>
      <c r="P114" s="23">
        <f>=$P112/$P111</f>
        <v>0.39184083059210534</v>
      </c>
      <c r="Q114" s="23">
        <f>=$Q112/$Q111</f>
        <v>0.41143287212171054</v>
      </c>
      <c r="R114" s="23">
        <f>=$R112/$R111</f>
        <v>0.4320045157277962</v>
      </c>
      <c r="S114" s="23">
        <f>=$S112/$S111</f>
        <v>0.45360474151418584</v>
      </c>
      <c r="T114" s="23">
        <f>=$T112/$T111</f>
        <v>0.47628497858989527</v>
      </c>
    </row>
    <row r="115">
      <c r="B115" s="22" t="str">
        <v>Profesionales estomatológicos — minutos-mes disponibles</v>
      </c>
      <c r="J115" s="6">
        <f>=IF(J$103&gt;=$G$100,($C$100)*$D$100*$E$100*(1-$F$100)*60/12,0)</f>
        <v>0</v>
      </c>
      <c r="K115" s="6">
        <f>=IF(K$103&gt;=$G$100,($C$100)*$D$100*$E$100*(1-$F$100)*60/12,0)</f>
        <v>98496</v>
      </c>
      <c r="L115" s="6">
        <f>=IF(L$103&gt;=$G$100,($C$100)*$D$100*$E$100*(1-$F$100)*60/12,0)</f>
        <v>98496</v>
      </c>
      <c r="M115" s="6">
        <f>=IF(M$103&gt;=$G$100,($C$100)*$D$100*$E$100*(1-$F$100)*60/12,0)</f>
        <v>98496</v>
      </c>
      <c r="N115" s="6">
        <f>=IF(N$103&gt;=$G$100,($C$100)*$D$100*$E$100*(1-$F$100)*60/12,0)</f>
        <v>98496</v>
      </c>
      <c r="O115" s="6">
        <f>=IF(O$103&gt;=$G$100,($C$100)*$D$100*$E$100*(1-$F$100)*60/12,0)</f>
        <v>98496</v>
      </c>
      <c r="P115" s="6">
        <f>=IF(P$103&gt;=$G$100,($C$100)*$D$100*$E$100*(1-$F$100)*60/12,0)</f>
        <v>98496</v>
      </c>
      <c r="Q115" s="6">
        <f>=IF(Q$103&gt;=$G$100,($C$100)*$D$100*$E$100*(1-$F$100)*60/12,0)</f>
        <v>98496</v>
      </c>
      <c r="R115" s="6">
        <f>=IF(R$103&gt;=$G$100,($C$100)*$D$100*$E$100*(1-$F$100)*60/12,0)</f>
        <v>98496</v>
      </c>
      <c r="S115" s="6">
        <f>=IF(S$103&gt;=$G$100,($C$100)*$D$100*$E$100*(1-$F$100)*60/12,0)</f>
        <v>98496</v>
      </c>
      <c r="T115" s="6">
        <f>=IF(T$103&gt;=$G$100,($C$100)*$D$100*$E$100*(1-$F$100)*60/12,0)</f>
        <v>98496</v>
      </c>
    </row>
    <row r="116">
      <c r="B116" s="2" t="str">
        <v>Profesionales estomatológicos — minutos-mes demandados</v>
      </c>
      <c r="J116" s="6">
        <f>=0</f>
        <v>0</v>
      </c>
      <c r="K116" s="6">
        <f>=SUMPRODUCT((Servicios!$A$4:$A$93=K$103)*Servicios!$H$4:$H$93*Servicios!$O$4:$O$93*Servicios!$T$4:$T$93})</f>
        <v>43530</v>
      </c>
      <c r="L116" s="6">
        <f>=SUMPRODUCT((Servicios!$A$4:$A$93=L$103)*Servicios!$H$4:$H$93*Servicios!$O$4:$O$93*Servicios!$T$4:$T$93})</f>
        <v>45706.5</v>
      </c>
      <c r="M116" s="6">
        <f>=SUMPRODUCT((Servicios!$A$4:$A$93=M$103)*Servicios!$H$4:$H$93*Servicios!$O$4:$O$93*Servicios!$T$4:$T$93})</f>
        <v>47991.825000000004</v>
      </c>
      <c r="N116" s="6">
        <f>=SUMPRODUCT((Servicios!$A$4:$A$93=N$103)*Servicios!$H$4:$H$93*Servicios!$O$4:$O$93*Servicios!$T$4:$T$93})</f>
        <v>50391.41625</v>
      </c>
      <c r="O116" s="6">
        <f>=SUMPRODUCT((Servicios!$A$4:$A$93=O$103)*Servicios!$H$4:$H$93*Servicios!$O$4:$O$93*Servicios!$T$4:$T$93})</f>
        <v>52910.98706250001</v>
      </c>
      <c r="P116" s="6">
        <f>=SUMPRODUCT((Servicios!$A$4:$A$93=P$103)*Servicios!$H$4:$H$93*Servicios!$O$4:$O$93*Servicios!$T$4:$T$93})</f>
        <v>55556.53641562501</v>
      </c>
      <c r="Q116" s="6">
        <f>=SUMPRODUCT((Servicios!$A$4:$A$93=Q$103)*Servicios!$H$4:$H$93*Servicios!$O$4:$O$93*Servicios!$T$4:$T$93})</f>
        <v>58334.36323640624</v>
      </c>
      <c r="R116" s="6">
        <f>=SUMPRODUCT((Servicios!$A$4:$A$93=R$103)*Servicios!$H$4:$H$93*Servicios!$O$4:$O$93*Servicios!$T$4:$T$93})</f>
        <v>61251.08139822657</v>
      </c>
      <c r="S116" s="6">
        <f>=SUMPRODUCT((Servicios!$A$4:$A$93=S$103)*Servicios!$H$4:$H$93*Servicios!$O$4:$O$93*Servicios!$T$4:$T$93})</f>
        <v>64313.6354681379</v>
      </c>
      <c r="T116" s="6">
        <f>=SUMPRODUCT((Servicios!$A$4:$A$93=T$103)*Servicios!$H$4:$H$93*Servicios!$O$4:$O$93*Servicios!$T$4:$T$93})</f>
        <v>67529.31724154479</v>
      </c>
    </row>
    <row r="117">
      <c r="B117" s="2" t="str">
        <v>Profesionales estomatológicos — escala pro-rata</v>
      </c>
      <c r="J117" s="27">
        <f>=IF($J116&gt;$J115,$J115/$J116,1)</f>
        <v>1</v>
      </c>
      <c r="K117" s="27">
        <f>=IF($K116&gt;$K115,$K115/$K116,1)</f>
        <v>1</v>
      </c>
      <c r="L117" s="27">
        <f>=IF($L116&gt;$L115,$L115/$L116,1)</f>
        <v>1</v>
      </c>
      <c r="M117" s="27">
        <f>=IF($M116&gt;$M115,$M115/$M116,1)</f>
        <v>1</v>
      </c>
      <c r="N117" s="27">
        <f>=IF($N116&gt;$N115,$N115/$N116,1)</f>
        <v>1</v>
      </c>
      <c r="O117" s="27">
        <f>=IF($O116&gt;$O115,$O115/$O116,1)</f>
        <v>1</v>
      </c>
      <c r="P117" s="27">
        <f>=IF($P116&gt;$P115,$P115/$P116,1)</f>
        <v>1</v>
      </c>
      <c r="Q117" s="27">
        <f>=IF($Q116&gt;$Q115,$Q115/$Q116,1)</f>
        <v>1</v>
      </c>
      <c r="R117" s="27">
        <f>=IF($R116&gt;$R115,$R115/$R116,1)</f>
        <v>1</v>
      </c>
      <c r="S117" s="27">
        <f>=IF($S116&gt;$S115,$S115/$S116,1)</f>
        <v>1</v>
      </c>
      <c r="T117" s="27">
        <f>=IF($T116&gt;$T115,$T115/$T116,1)</f>
        <v>1</v>
      </c>
    </row>
    <row r="118">
      <c r="B118" s="2" t="str">
        <v>Profesionales estomatológicos — utilización</v>
      </c>
      <c r="J118" s="23">
        <f>=0</f>
        <v>0</v>
      </c>
      <c r="K118" s="23">
        <f>=$K116/$K115</f>
        <v>0.44194688109161795</v>
      </c>
      <c r="L118" s="23">
        <f>=$L116/$L115</f>
        <v>0.4640442251461988</v>
      </c>
      <c r="M118" s="23">
        <f>=$M116/$M115</f>
        <v>0.48724643640350884</v>
      </c>
      <c r="N118" s="23">
        <f>=$N116/$N115</f>
        <v>0.5116087582236842</v>
      </c>
      <c r="O118" s="23">
        <f>=$O116/$O115</f>
        <v>0.5371891961348685</v>
      </c>
      <c r="P118" s="23">
        <f>=$P116/$P115</f>
        <v>0.5640486559416119</v>
      </c>
      <c r="Q118" s="23">
        <f>=$Q116/$Q115</f>
        <v>0.5922510887386924</v>
      </c>
      <c r="R118" s="23">
        <f>=$R116/$R115</f>
        <v>0.6218636431756271</v>
      </c>
      <c r="S118" s="23">
        <f>=$S116/$S115</f>
        <v>0.6529568253344085</v>
      </c>
      <c r="T118" s="23">
        <f>=$T116/$T115</f>
        <v>0.6856046666011288</v>
      </c>
    </row>
    <row r="122">
      <c r="A122" s="3" t="str">
        <v>Ampliaciones programadas (escenario B)</v>
      </c>
    </row>
    <row r="123">
      <c r="A123" s="12" t="str">
        <v>Recurso</v>
      </c>
      <c r="B123" s="12" t="str">
        <v>Año</v>
      </c>
      <c r="C123" s="12" t="str">
        <v>Cantidad</v>
      </c>
      <c r="D123" s="12" t="str">
        <v>Costo (kUSD)</v>
      </c>
      <c r="E123" s="12" t="str">
        <v>Vida útil</v>
      </c>
      <c r="F123" s="12" t="str">
        <v>Observación</v>
      </c>
    </row>
    <row r="124">
      <c r="A124" s="19" t="str">
        <v>Gabinetes de atención (sillones)</v>
      </c>
      <c r="B124" s="19">
        <v>7</v>
      </c>
      <c r="C124" s="19">
        <v>2</v>
      </c>
      <c r="D124" s="16">
        <v>150</v>
      </c>
      <c r="E124" s="19">
        <v>10</v>
      </c>
      <c r="F124" s="2" t="str">
        <v>Ampliación programada del escenario B: 2 gabinetes adicionales con equipamiento (supuesto ficticio). Entra en el año 7, cuando la utilización de la base llega a su máximo.</v>
      </c>
    </row>
    <row r="126">
      <c r="A126" s="8" t="str">
        <v>Las ampliaciones generan CAPEX (hoja FlujosCaja), capacidad y depreciación (hoja Depreciacion) desde su año.</v>
      </c>
    </row>
  </sheetData>
  <ignoredErrors>
    <ignoredError numberStoredAsText="1" sqref="A1:T126"/>
  </ignoredErrors>
</worksheet>
</file>

<file path=xl/worksheets/sheet12.xml><?xml version="1.0" encoding="utf-8"?>
<worksheet xmlns="http://schemas.openxmlformats.org/spreadsheetml/2006/main" xmlns:r="http://schemas.openxmlformats.org/officeDocument/2006/relationships">
  <dimension ref="A1:N38"/>
  <sheetViews>
    <sheetView workbookViewId="0"/>
  </sheetViews>
  <cols>
    <col min="1" max="1" width="46.83203125" customWidth="1"/>
    <col min="2" max="2" width="8.83203125" customWidth="1"/>
    <col min="3" max="3" width="11.83203125" customWidth="1"/>
    <col min="4" max="4" width="11.83203125" customWidth="1"/>
    <col min="5" max="5" width="11.83203125" customWidth="1"/>
    <col min="6" max="6" width="11.83203125" customWidth="1"/>
    <col min="7" max="7" width="11.83203125" customWidth="1"/>
    <col min="8" max="8" width="11.83203125" customWidth="1"/>
    <col min="9" max="9" width="11.83203125" customWidth="1"/>
    <col min="10" max="10" width="11.83203125" customWidth="1"/>
    <col min="11" max="11" width="11.83203125" customWidth="1"/>
    <col min="12" max="12" width="11.83203125" customWidth="1"/>
    <col min="13" max="13" width="11.83203125" customWidth="1"/>
    <col min="14" max="14" width="12.83203125" customWidth="1"/>
  </cols>
  <sheetData>
    <row r="1">
      <c r="A1" s="3" t="str">
        <v>Proyección de ingresos, costos, utilidades y flujos (4.7) — miles de USD</v>
      </c>
    </row>
    <row r="2">
      <c r="A2" s="8" t="str">
        <v>Año 0 = montaje (solo efectos reales de esa fase); años 1–N = operación. Celdas ámbar = entrada; verdes = fórmula con referencias entre hojas (incluidas las hojas del motor: Depreciacion, Deuda, FlujosCaja y Dividendos).</v>
      </c>
    </row>
    <row r="3">
      <c r="A3" s="12" t="str">
        <v>Concepto</v>
      </c>
      <c r="B3" s="12" t="str">
        <v>Unidad</v>
      </c>
      <c r="C3" s="28">
        <v>0</v>
      </c>
      <c r="D3" s="28">
        <v>1</v>
      </c>
      <c r="E3" s="28">
        <v>2</v>
      </c>
      <c r="F3" s="28">
        <v>3</v>
      </c>
      <c r="G3" s="28">
        <v>4</v>
      </c>
      <c r="H3" s="28">
        <v>5</v>
      </c>
      <c r="I3" s="28">
        <v>6</v>
      </c>
      <c r="J3" s="28">
        <v>7</v>
      </c>
      <c r="K3" s="28">
        <v>8</v>
      </c>
      <c r="L3" s="28">
        <v>9</v>
      </c>
      <c r="M3" s="28">
        <v>10</v>
      </c>
      <c r="N3" s="28" t="str">
        <v>Total</v>
      </c>
    </row>
    <row r="4">
      <c r="A4" s="2" t="str">
        <v>Ingresos por servicios (USD)</v>
      </c>
      <c r="B4" s="2" t="str">
        <v>USD</v>
      </c>
      <c r="C4" s="6">
        <f>=SUMIFS(Servicios!$L$4:$L$93,Servicios!$A$4:$A$93,C$3)</f>
        <v>0</v>
      </c>
      <c r="D4" s="6">
        <f>=SUMIFS(Servicios!$L$4:$L$93,Servicios!$A$4:$A$93,D$3)</f>
        <v>967800</v>
      </c>
      <c r="E4" s="6">
        <f>=SUMIFS(Servicios!$L$4:$L$93,Servicios!$A$4:$A$93,E$3)</f>
        <v>1046675.7000000001</v>
      </c>
      <c r="F4" s="6">
        <f>=SUMIFS(Servicios!$L$4:$L$93,Servicios!$A$4:$A$93,F$3)</f>
        <v>1131979.7695499999</v>
      </c>
      <c r="G4" s="6">
        <f>=SUMIFS(Servicios!$L$4:$L$93,Servicios!$A$4:$A$93,G$3)</f>
        <v>1224236.1207683252</v>
      </c>
      <c r="H4" s="6">
        <f>=SUMIFS(Servicios!$L$4:$L$93,Servicios!$A$4:$A$93,H$3)</f>
        <v>1324011.3646109432</v>
      </c>
      <c r="I4" s="6">
        <f>=SUMIFS(Servicios!$L$4:$L$93,Servicios!$A$4:$A$93,I$3)</f>
        <v>1431918.2908267356</v>
      </c>
      <c r="J4" s="6">
        <f>=SUMIFS(Servicios!$L$4:$L$93,Servicios!$A$4:$A$93,J$3)</f>
        <v>1548619.631529114</v>
      </c>
      <c r="K4" s="6">
        <f>=SUMIFS(Servicios!$L$4:$L$93,Servicios!$A$4:$A$93,K$3)</f>
        <v>1674832.1314987373</v>
      </c>
      <c r="L4" s="6">
        <f>=SUMIFS(Servicios!$L$4:$L$93,Servicios!$A$4:$A$93,L$3)</f>
        <v>1811330.950215884</v>
      </c>
      <c r="M4" s="6">
        <f>=SUMIFS(Servicios!$L$4:$L$93,Servicios!$A$4:$A$93,M$3)</f>
        <v>1958954.4226584788</v>
      </c>
      <c r="N4" s="21" t="str">
        <f>=SUM(C4:M4)</f>
        <v>#ERROR</v>
      </c>
    </row>
    <row r="5">
      <c r="A5" s="2" t="str">
        <v>Ingresos por servicios</v>
      </c>
      <c r="B5" s="2" t="str">
        <v>kUSD</v>
      </c>
      <c r="C5" s="6">
        <f>=(C$4/1000)</f>
        <v>0</v>
      </c>
      <c r="D5" s="6">
        <f>=(D$4/1000)</f>
        <v>967.8</v>
      </c>
      <c r="E5" s="6">
        <f>=(E$4/1000)</f>
        <v>1046.6757</v>
      </c>
      <c r="F5" s="6">
        <f>=(F$4/1000)</f>
        <v>1131.97976955</v>
      </c>
      <c r="G5" s="6">
        <f>=(G$4/1000)</f>
        <v>1224.2361207683252</v>
      </c>
      <c r="H5" s="6">
        <f>=(H$4/1000)</f>
        <v>1324.0113646109432</v>
      </c>
      <c r="I5" s="6">
        <f>=(I$4/1000)</f>
        <v>1431.9182908267355</v>
      </c>
      <c r="J5" s="6">
        <f>=(J$4/1000)</f>
        <v>1548.619631529114</v>
      </c>
      <c r="K5" s="6">
        <f>=(K$4/1000)</f>
        <v>1674.8321314987372</v>
      </c>
      <c r="L5" s="6">
        <f>=(L$4/1000)</f>
        <v>1811.330950215884</v>
      </c>
      <c r="M5" s="6">
        <f>=(M$4/1000)</f>
        <v>1958.9544226584787</v>
      </c>
      <c r="N5" s="21" t="str">
        <f>=SUM(C5:M5)</f>
        <v>#ERROR</v>
      </c>
    </row>
    <row r="6">
      <c r="A6" s="2" t="str">
        <v>Otros ingresos (editable)</v>
      </c>
      <c r="B6" s="2" t="str">
        <v>kUSD</v>
      </c>
      <c r="C6" s="16">
        <v>0</v>
      </c>
      <c r="D6" s="16">
        <v>0</v>
      </c>
      <c r="E6" s="16">
        <v>0</v>
      </c>
      <c r="F6" s="16">
        <v>0</v>
      </c>
      <c r="G6" s="16">
        <v>0</v>
      </c>
      <c r="H6" s="16">
        <v>0</v>
      </c>
      <c r="I6" s="16">
        <v>0</v>
      </c>
      <c r="J6" s="16">
        <v>0</v>
      </c>
      <c r="K6" s="16">
        <v>0</v>
      </c>
      <c r="L6" s="16">
        <v>0</v>
      </c>
      <c r="M6" s="16">
        <v>0</v>
      </c>
      <c r="N6" s="21">
        <f>=SUM(C6:M6)</f>
        <v>0</v>
      </c>
    </row>
    <row r="7">
      <c r="A7" s="22" t="str">
        <v>INGRESOS TOTALES</v>
      </c>
      <c r="B7" s="2" t="str">
        <v>kUSD</v>
      </c>
      <c r="C7" s="21">
        <f>=(C$5+C$6)</f>
        <v>0</v>
      </c>
      <c r="D7" s="21">
        <f>=(D$5+D$6)</f>
        <v>967.8</v>
      </c>
      <c r="E7" s="21">
        <f>=(E$5+E$6)</f>
        <v>1046.6757</v>
      </c>
      <c r="F7" s="21">
        <f>=(F$5+F$6)</f>
        <v>1131.97976955</v>
      </c>
      <c r="G7" s="21">
        <f>=(G$5+G$6)</f>
        <v>1224.2361207683252</v>
      </c>
      <c r="H7" s="21">
        <f>=(H$5+H$6)</f>
        <v>1324.0113646109432</v>
      </c>
      <c r="I7" s="21">
        <f>=(I$5+I$6)</f>
        <v>1431.9182908267355</v>
      </c>
      <c r="J7" s="21">
        <f>=(J$5+J$6)</f>
        <v>1548.619631529114</v>
      </c>
      <c r="K7" s="21">
        <f>=(K$5+K$6)</f>
        <v>1674.8321314987372</v>
      </c>
      <c r="L7" s="21">
        <f>=(L$5+L$6)</f>
        <v>1811.330950215884</v>
      </c>
      <c r="M7" s="21">
        <f>=(M$5+M$6)</f>
        <v>1958.9544226584787</v>
      </c>
      <c r="N7" s="21" t="str">
        <f>=SUM(C7:M7)</f>
        <v>#ERROR</v>
      </c>
    </row>
    <row r="8">
      <c r="A8" s="2" t="str">
        <v>Costos variables (USD)</v>
      </c>
      <c r="B8" s="2" t="str">
        <v>USD</v>
      </c>
      <c r="C8" s="6">
        <f>=SUMIFS(Servicios!$M$4:$M$93,Servicios!$A$4:$A$93,C$3)</f>
        <v>0</v>
      </c>
      <c r="D8" s="6">
        <f>=SUMIFS(Servicios!$M$4:$M$93,Servicios!$A$4:$A$93,D$3)</f>
        <v>254820</v>
      </c>
      <c r="E8" s="6">
        <f>=SUMIFS(Servicios!$M$4:$M$93,Servicios!$A$4:$A$93,E$3)</f>
        <v>278263.44</v>
      </c>
      <c r="F8" s="6">
        <f>=SUMIFS(Servicios!$M$4:$M$93,Servicios!$A$4:$A$93,F$3)</f>
        <v>303863.67648</v>
      </c>
      <c r="G8" s="6">
        <f>=SUMIFS(Servicios!$M$4:$M$93,Servicios!$A$4:$A$93,G$3)</f>
        <v>331819.1347161601</v>
      </c>
      <c r="H8" s="6">
        <f>=SUMIFS(Servicios!$M$4:$M$93,Servicios!$A$4:$A$93,H$3)</f>
        <v>362346.4951100468</v>
      </c>
      <c r="I8" s="6">
        <f>=SUMIFS(Servicios!$M$4:$M$93,Servicios!$A$4:$A$93,I$3)</f>
        <v>395682.3726601712</v>
      </c>
      <c r="J8" s="6">
        <f>=SUMIFS(Servicios!$M$4:$M$93,Servicios!$A$4:$A$93,J$3)</f>
        <v>432085.15094490687</v>
      </c>
      <c r="K8" s="6">
        <f>=SUMIFS(Servicios!$M$4:$M$93,Servicios!$A$4:$A$93,K$3)</f>
        <v>471836.9848318383</v>
      </c>
      <c r="L8" s="6">
        <f>=SUMIFS(Servicios!$M$4:$M$93,Servicios!$A$4:$A$93,L$3)</f>
        <v>515245.98743636743</v>
      </c>
      <c r="M8" s="6">
        <f>=SUMIFS(Servicios!$M$4:$M$93,Servicios!$A$4:$A$93,M$3)</f>
        <v>562648.6182805133</v>
      </c>
      <c r="N8" s="21" t="str">
        <f>=SUM(C8:M8)</f>
        <v>#ERROR</v>
      </c>
    </row>
    <row r="9">
      <c r="A9" s="2" t="str">
        <v>Costos variables</v>
      </c>
      <c r="B9" s="2" t="str">
        <v>kUSD</v>
      </c>
      <c r="C9" s="6">
        <f>=(C$8/1000)</f>
        <v>0</v>
      </c>
      <c r="D9" s="6">
        <f>=(D$8/1000)</f>
        <v>254.82</v>
      </c>
      <c r="E9" s="6">
        <f>=(E$8/1000)</f>
        <v>278.26344</v>
      </c>
      <c r="F9" s="6">
        <f>=(F$8/1000)</f>
        <v>303.86367648000004</v>
      </c>
      <c r="G9" s="6">
        <f>=(G$8/1000)</f>
        <v>331.8191347161601</v>
      </c>
      <c r="H9" s="6">
        <f>=(H$8/1000)</f>
        <v>362.3464951100468</v>
      </c>
      <c r="I9" s="6">
        <f>=(I$8/1000)</f>
        <v>395.68237266017115</v>
      </c>
      <c r="J9" s="6">
        <f>=(J$8/1000)</f>
        <v>432.08515094490684</v>
      </c>
      <c r="K9" s="6">
        <f>=(K$8/1000)</f>
        <v>471.83698483183827</v>
      </c>
      <c r="L9" s="6">
        <f>=(L$8/1000)</f>
        <v>515.2459874363674</v>
      </c>
      <c r="M9" s="6">
        <f>=(M$8/1000)</f>
        <v>562.6486182805133</v>
      </c>
      <c r="N9" s="21" t="str">
        <f>=SUM(C9:M9)</f>
        <v>#ERROR</v>
      </c>
    </row>
    <row r="10">
      <c r="A10" s="2" t="str">
        <v>Costo laboral (CUP)</v>
      </c>
      <c r="B10" s="2" t="str">
        <v>CUP</v>
      </c>
      <c r="C10" s="6">
        <f>=(SUMPRODUCT((Personal!$A$4:$A$54=C$3)*$D$4:$D$54*$F$4:$F$54)*Parametros!$C$15)</f>
        <v>576000</v>
      </c>
      <c r="D10" s="6">
        <f>=(SUMPRODUCT((Personal!$A$4:$A$54=D$3)*$D$4:$D$54*$F$4:$F$54)*Parametros!$C$15)</f>
        <v>15312000</v>
      </c>
      <c r="E10" s="6">
        <f>=(SUMPRODUCT((Personal!$A$4:$A$54=E$3)*$D$4:$D$54*$F$4:$F$54)*Parametros!$C$15)</f>
        <v>16077600</v>
      </c>
      <c r="F10" s="6">
        <f>=(SUMPRODUCT((Personal!$A$4:$A$54=F$3)*$D$4:$D$54*$F$4:$F$54)*Parametros!$C$15)</f>
        <v>16881480</v>
      </c>
      <c r="G10" s="6">
        <f>=(SUMPRODUCT((Personal!$A$4:$A$54=G$3)*$D$4:$D$54*$F$4:$F$54)*Parametros!$C$15)</f>
        <v>17725554.000000004</v>
      </c>
      <c r="H10" s="6">
        <f>=(SUMPRODUCT((Personal!$A$4:$A$54=H$3)*$D$4:$D$54*$F$4:$F$54)*Parametros!$C$15)</f>
        <v>18611831.7</v>
      </c>
      <c r="I10" s="6">
        <f>=(SUMPRODUCT((Personal!$A$4:$A$54=I$3)*$D$4:$D$54*$F$4:$F$54)*Parametros!$C$15)</f>
        <v>19542423.285000004</v>
      </c>
      <c r="J10" s="6">
        <f>=(SUMPRODUCT((Personal!$A$4:$A$54=J$3)*$D$4:$D$54*$F$4:$F$54)*Parametros!$C$15)</f>
        <v>20519544.449249998</v>
      </c>
      <c r="K10" s="6">
        <f>=(SUMPRODUCT((Personal!$A$4:$A$54=K$3)*$D$4:$D$54*$F$4:$F$54)*Parametros!$C$15)</f>
        <v>21545521.671712503</v>
      </c>
      <c r="L10" s="6">
        <f>=(SUMPRODUCT((Personal!$A$4:$A$54=L$3)*$D$4:$D$54*$F$4:$F$54)*Parametros!$C$15)</f>
        <v>22622797.755298126</v>
      </c>
      <c r="M10" s="6">
        <f>=(SUMPRODUCT((Personal!$A$4:$A$54=M$3)*$D$4:$D$54*$F$4:$F$54)*Parametros!$C$15)</f>
        <v>23753937.643063035</v>
      </c>
      <c r="N10" s="21" t="str">
        <f>=SUM(C10:M10)</f>
        <v>#ERROR</v>
      </c>
    </row>
    <row r="11">
      <c r="A11" s="2" t="str">
        <v>Costo laboral</v>
      </c>
      <c r="B11" s="2" t="str">
        <v>kUSD</v>
      </c>
      <c r="C11" s="6">
        <f>=((C$10/Parametros!$C$4)/1000)</f>
        <v>0.775235531628533</v>
      </c>
      <c r="D11" s="6">
        <f>=((D$10/Parametros!$C$4)/1000)</f>
        <v>20.60834454912517</v>
      </c>
      <c r="E11" s="6">
        <f>=((E$10/Parametros!$C$4)/1000)</f>
        <v>21.63876177658143</v>
      </c>
      <c r="F11" s="6">
        <f>=((F$10/Parametros!$C$4)/1000)</f>
        <v>22.7206998654105</v>
      </c>
      <c r="G11" s="6">
        <f>=((G$10/Parametros!$C$4)/1000)</f>
        <v>23.85673485868103</v>
      </c>
      <c r="H11" s="6">
        <f>=((H$10/Parametros!$C$4)/1000)</f>
        <v>25.049571601615074</v>
      </c>
      <c r="I11" s="6">
        <f>=((I$10/Parametros!$C$4)/1000)</f>
        <v>26.302050181695833</v>
      </c>
      <c r="J11" s="6">
        <f>=((J$10/Parametros!$C$4)/1000)</f>
        <v>27.617152690780614</v>
      </c>
      <c r="K11" s="6">
        <f>=((K$10/Parametros!$C$4)/1000)</f>
        <v>28.998010325319655</v>
      </c>
      <c r="L11" s="6">
        <f>=((L$10/Parametros!$C$4)/1000)</f>
        <v>30.447910841585635</v>
      </c>
      <c r="M11" s="6">
        <f>=((M$10/Parametros!$C$4)/1000)</f>
        <v>31.97030638366492</v>
      </c>
      <c r="N11" s="21" t="str">
        <f>=SUM(C11:M11)</f>
        <v>#ERROR</v>
      </c>
    </row>
    <row r="12">
      <c r="A12" s="2" t="str">
        <v>Canon (años de operación)</v>
      </c>
      <c r="B12" s="2" t="str">
        <v>kUSD</v>
      </c>
      <c r="C12" s="6">
        <f>=IF((C$3&gt;=1),(Parametros!$C$21*((1+Parametros!$C$9)^MAX(0,(C$3-1)))),0)</f>
        <v>0</v>
      </c>
      <c r="D12" s="6">
        <f>=IF((D$3&gt;=1),(Parametros!$C$21*((1+Parametros!$C$9)^MAX(0,(D$3-1)))),0)</f>
        <v>30</v>
      </c>
      <c r="E12" s="6">
        <f>=IF((E$3&gt;=1),(Parametros!$C$21*((1+Parametros!$C$9)^MAX(0,(E$3-1)))),0)</f>
        <v>30</v>
      </c>
      <c r="F12" s="6">
        <f>=IF((F$3&gt;=1),(Parametros!$C$21*((1+Parametros!$C$9)^MAX(0,(F$3-1)))),0)</f>
        <v>30</v>
      </c>
      <c r="G12" s="6">
        <f>=IF((G$3&gt;=1),(Parametros!$C$21*((1+Parametros!$C$9)^MAX(0,(G$3-1)))),0)</f>
        <v>30</v>
      </c>
      <c r="H12" s="6">
        <f>=IF((H$3&gt;=1),(Parametros!$C$21*((1+Parametros!$C$9)^MAX(0,(H$3-1)))),0)</f>
        <v>30</v>
      </c>
      <c r="I12" s="6">
        <f>=IF((I$3&gt;=1),(Parametros!$C$21*((1+Parametros!$C$9)^MAX(0,(I$3-1)))),0)</f>
        <v>30</v>
      </c>
      <c r="J12" s="6">
        <f>=IF((J$3&gt;=1),(Parametros!$C$21*((1+Parametros!$C$9)^MAX(0,(J$3-1)))),0)</f>
        <v>30</v>
      </c>
      <c r="K12" s="6">
        <f>=IF((K$3&gt;=1),(Parametros!$C$21*((1+Parametros!$C$9)^MAX(0,(K$3-1)))),0)</f>
        <v>30</v>
      </c>
      <c r="L12" s="6">
        <f>=IF((L$3&gt;=1),(Parametros!$C$21*((1+Parametros!$C$9)^MAX(0,(L$3-1)))),0)</f>
        <v>30</v>
      </c>
      <c r="M12" s="6">
        <f>=IF((M$3&gt;=1),(Parametros!$C$21*((1+Parametros!$C$9)^MAX(0,(M$3-1)))),0)</f>
        <v>30</v>
      </c>
      <c r="N12" s="21" t="str">
        <f>=SUM(C12:M12)</f>
        <v>#ERROR</v>
      </c>
    </row>
    <row r="13">
      <c r="A13" s="2" t="str">
        <v>Mantenimiento (años de operación)</v>
      </c>
      <c r="B13" s="2" t="str">
        <v>kUSD</v>
      </c>
      <c r="C13" s="6">
        <f>=IF((C$3&gt;=1),(Parametros!$C$14*Parametros!$C$2),0)</f>
        <v>0</v>
      </c>
      <c r="D13" s="6">
        <f>=IF((D$3&gt;=1),(Parametros!$C$14*Parametros!$C$2),0)</f>
        <v>36</v>
      </c>
      <c r="E13" s="6">
        <f>=IF((E$3&gt;=1),(Parametros!$C$14*Parametros!$C$2),0)</f>
        <v>36</v>
      </c>
      <c r="F13" s="6">
        <f>=IF((F$3&gt;=1),(Parametros!$C$14*Parametros!$C$2),0)</f>
        <v>36</v>
      </c>
      <c r="G13" s="6">
        <f>=IF((G$3&gt;=1),(Parametros!$C$14*Parametros!$C$2),0)</f>
        <v>36</v>
      </c>
      <c r="H13" s="6">
        <f>=IF((H$3&gt;=1),(Parametros!$C$14*Parametros!$C$2),0)</f>
        <v>36</v>
      </c>
      <c r="I13" s="6">
        <f>=IF((I$3&gt;=1),(Parametros!$C$14*Parametros!$C$2),0)</f>
        <v>36</v>
      </c>
      <c r="J13" s="6">
        <f>=IF((J$3&gt;=1),(Parametros!$C$14*Parametros!$C$2),0)</f>
        <v>36</v>
      </c>
      <c r="K13" s="6">
        <f>=IF((K$3&gt;=1),(Parametros!$C$14*Parametros!$C$2),0)</f>
        <v>36</v>
      </c>
      <c r="L13" s="6">
        <f>=IF((L$3&gt;=1),(Parametros!$C$14*Parametros!$C$2),0)</f>
        <v>36</v>
      </c>
      <c r="M13" s="6">
        <f>=IF((M$3&gt;=1),(Parametros!$C$14*Parametros!$C$2),0)</f>
        <v>36</v>
      </c>
      <c r="N13" s="21" t="str">
        <f>=SUM(C13:M13)</f>
        <v>#ERROR</v>
      </c>
    </row>
    <row r="14">
      <c r="A14" s="2" t="str">
        <v>Servicios públicos (años de operación)</v>
      </c>
      <c r="B14" s="2" t="str">
        <v>kUSD</v>
      </c>
      <c r="C14" s="6">
        <f>=IF((C$3&gt;=1),(Parametros!$C$20*((1+Parametros!$C$9)^MAX(0,(C$3-1)))),0)</f>
        <v>0</v>
      </c>
      <c r="D14" s="6">
        <f>=IF((D$3&gt;=1),(Parametros!$C$20*((1+Parametros!$C$9)^MAX(0,(D$3-1)))),0)</f>
        <v>40</v>
      </c>
      <c r="E14" s="6">
        <f>=IF((E$3&gt;=1),(Parametros!$C$20*((1+Parametros!$C$9)^MAX(0,(E$3-1)))),0)</f>
        <v>40</v>
      </c>
      <c r="F14" s="6">
        <f>=IF((F$3&gt;=1),(Parametros!$C$20*((1+Parametros!$C$9)^MAX(0,(F$3-1)))),0)</f>
        <v>40</v>
      </c>
      <c r="G14" s="6">
        <f>=IF((G$3&gt;=1),(Parametros!$C$20*((1+Parametros!$C$9)^MAX(0,(G$3-1)))),0)</f>
        <v>40</v>
      </c>
      <c r="H14" s="6">
        <f>=IF((H$3&gt;=1),(Parametros!$C$20*((1+Parametros!$C$9)^MAX(0,(H$3-1)))),0)</f>
        <v>40</v>
      </c>
      <c r="I14" s="6">
        <f>=IF((I$3&gt;=1),(Parametros!$C$20*((1+Parametros!$C$9)^MAX(0,(I$3-1)))),0)</f>
        <v>40</v>
      </c>
      <c r="J14" s="6">
        <f>=IF((J$3&gt;=1),(Parametros!$C$20*((1+Parametros!$C$9)^MAX(0,(J$3-1)))),0)</f>
        <v>40</v>
      </c>
      <c r="K14" s="6">
        <f>=IF((K$3&gt;=1),(Parametros!$C$20*((1+Parametros!$C$9)^MAX(0,(K$3-1)))),0)</f>
        <v>40</v>
      </c>
      <c r="L14" s="6">
        <f>=IF((L$3&gt;=1),(Parametros!$C$20*((1+Parametros!$C$9)^MAX(0,(L$3-1)))),0)</f>
        <v>40</v>
      </c>
      <c r="M14" s="6">
        <f>=IF((M$3&gt;=1),(Parametros!$C$20*((1+Parametros!$C$9)^MAX(0,(M$3-1)))),0)</f>
        <v>40</v>
      </c>
      <c r="N14" s="21" t="str">
        <f>=SUM(C14:M14)</f>
        <v>#ERROR</v>
      </c>
    </row>
    <row r="15">
      <c r="A15" s="2" t="str">
        <v>Gastos administrativos</v>
      </c>
      <c r="B15" s="2" t="str">
        <v>kUSD</v>
      </c>
      <c r="C15" s="6">
        <f>=(Parametros!$C$13*C$7)</f>
        <v>0</v>
      </c>
      <c r="D15" s="6">
        <f>=(Parametros!$C$13*D$7)</f>
        <v>48.39</v>
      </c>
      <c r="E15" s="6">
        <f>=(Parametros!$C$13*E$7)</f>
        <v>52.333785000000006</v>
      </c>
      <c r="F15" s="6">
        <f>=(Parametros!$C$13*F$7)</f>
        <v>56.5989884775</v>
      </c>
      <c r="G15" s="6">
        <f>=(Parametros!$C$13*G$7)</f>
        <v>61.21180603841626</v>
      </c>
      <c r="H15" s="6">
        <f>=(Parametros!$C$13*H$7)</f>
        <v>66.20056823054716</v>
      </c>
      <c r="I15" s="6">
        <f>=(Parametros!$C$13*I$7)</f>
        <v>71.59591454133678</v>
      </c>
      <c r="J15" s="6">
        <f>=(Parametros!$C$13*J$7)</f>
        <v>77.43098157645571</v>
      </c>
      <c r="K15" s="6">
        <f>=(Parametros!$C$13*K$7)</f>
        <v>83.74160657493687</v>
      </c>
      <c r="L15" s="6">
        <f>=(Parametros!$C$13*L$7)</f>
        <v>90.56654751079421</v>
      </c>
      <c r="M15" s="6">
        <f>=(Parametros!$C$13*M$7)</f>
        <v>97.94772113292395</v>
      </c>
      <c r="N15" s="21" t="str">
        <f>=SUM(C15:M15)</f>
        <v>#ERROR</v>
      </c>
    </row>
    <row r="16">
      <c r="A16" s="2" t="str">
        <v>Otros gastos fijos (años de operación)</v>
      </c>
      <c r="B16" s="2" t="str">
        <v>kUSD</v>
      </c>
      <c r="C16" s="6">
        <f>=IF((C$3&gt;=1),(Parametros!$C$22*((1+Parametros!$C$9)^MAX(0,(C$3-1)))),0)</f>
        <v>0</v>
      </c>
      <c r="D16" s="6">
        <f>=IF((D$3&gt;=1),(Parametros!$C$22*((1+Parametros!$C$9)^MAX(0,(D$3-1)))),0)</f>
        <v>10</v>
      </c>
      <c r="E16" s="6">
        <f>=IF((E$3&gt;=1),(Parametros!$C$22*((1+Parametros!$C$9)^MAX(0,(E$3-1)))),0)</f>
        <v>10</v>
      </c>
      <c r="F16" s="6">
        <f>=IF((F$3&gt;=1),(Parametros!$C$22*((1+Parametros!$C$9)^MAX(0,(F$3-1)))),0)</f>
        <v>10</v>
      </c>
      <c r="G16" s="6">
        <f>=IF((G$3&gt;=1),(Parametros!$C$22*((1+Parametros!$C$9)^MAX(0,(G$3-1)))),0)</f>
        <v>10</v>
      </c>
      <c r="H16" s="6">
        <f>=IF((H$3&gt;=1),(Parametros!$C$22*((1+Parametros!$C$9)^MAX(0,(H$3-1)))),0)</f>
        <v>10</v>
      </c>
      <c r="I16" s="6">
        <f>=IF((I$3&gt;=1),(Parametros!$C$22*((1+Parametros!$C$9)^MAX(0,(I$3-1)))),0)</f>
        <v>10</v>
      </c>
      <c r="J16" s="6">
        <f>=IF((J$3&gt;=1),(Parametros!$C$22*((1+Parametros!$C$9)^MAX(0,(J$3-1)))),0)</f>
        <v>10</v>
      </c>
      <c r="K16" s="6">
        <f>=IF((K$3&gt;=1),(Parametros!$C$22*((1+Parametros!$C$9)^MAX(0,(K$3-1)))),0)</f>
        <v>10</v>
      </c>
      <c r="L16" s="6">
        <f>=IF((L$3&gt;=1),(Parametros!$C$22*((1+Parametros!$C$9)^MAX(0,(L$3-1)))),0)</f>
        <v>10</v>
      </c>
      <c r="M16" s="6">
        <f>=IF((M$3&gt;=1),(Parametros!$C$22*((1+Parametros!$C$9)^MAX(0,(M$3-1)))),0)</f>
        <v>10</v>
      </c>
      <c r="N16" s="21" t="str">
        <f>=SUM(C16:M16)</f>
        <v>#ERROR</v>
      </c>
    </row>
    <row r="17">
      <c r="A17" s="2" t="str">
        <v>Depreciación (calendario por activo)</v>
      </c>
      <c r="B17" s="2" t="str">
        <v>kUSD</v>
      </c>
      <c r="C17" s="6">
        <f>=Depreciacion!I$13</f>
        <v>0</v>
      </c>
      <c r="D17" s="6">
        <f>=Depreciacion!J$13</f>
        <v>117.125</v>
      </c>
      <c r="E17" s="6">
        <f>=Depreciacion!K$13</f>
        <v>117.125</v>
      </c>
      <c r="F17" s="6">
        <f>=Depreciacion!L$13</f>
        <v>117.125</v>
      </c>
      <c r="G17" s="6">
        <f>=Depreciacion!M$13</f>
        <v>117.125</v>
      </c>
      <c r="H17" s="6">
        <f>=Depreciacion!N$13</f>
        <v>117.125</v>
      </c>
      <c r="I17" s="6">
        <f>=Depreciacion!O$13</f>
        <v>110.125</v>
      </c>
      <c r="J17" s="6">
        <f>=Depreciacion!P$13</f>
        <v>125.125</v>
      </c>
      <c r="K17" s="6">
        <f>=Depreciacion!Q$13</f>
        <v>125.125</v>
      </c>
      <c r="L17" s="6">
        <f>=Depreciacion!R$13</f>
        <v>112</v>
      </c>
      <c r="M17" s="6">
        <f>=Depreciacion!S$13</f>
        <v>112</v>
      </c>
      <c r="N17" s="21" t="str">
        <f>=SUM(C17:M17)</f>
        <v>#ERROR</v>
      </c>
    </row>
    <row r="18">
      <c r="A18" s="2" t="str">
        <v>Intereses del crédito (devengados)</v>
      </c>
      <c r="B18" s="2" t="str">
        <v>kUSD</v>
      </c>
      <c r="C18" s="6">
        <f>=Deuda!$D$4</f>
        <v>0</v>
      </c>
      <c r="D18" s="6">
        <f>=Deuda!$D$5</f>
        <v>24</v>
      </c>
      <c r="E18" s="6">
        <f>=Deuda!$D$6</f>
        <v>24</v>
      </c>
      <c r="F18" s="6">
        <f>=Deuda!$D$7</f>
        <v>19.2</v>
      </c>
      <c r="G18" s="6">
        <f>=Deuda!$D$8</f>
        <v>14.4</v>
      </c>
      <c r="H18" s="6">
        <f>=Deuda!$D$9</f>
        <v>9.6</v>
      </c>
      <c r="I18" s="6">
        <f>=Deuda!$D$10</f>
        <v>4.8</v>
      </c>
      <c r="J18" s="6">
        <f>=Deuda!$D$11</f>
        <v>0</v>
      </c>
      <c r="K18" s="6">
        <f>=Deuda!$D$12</f>
        <v>0</v>
      </c>
      <c r="L18" s="6">
        <f>=Deuda!$D$13</f>
        <v>0</v>
      </c>
      <c r="M18" s="6">
        <f>=Deuda!$D$14</f>
        <v>0</v>
      </c>
      <c r="N18" s="21" t="str">
        <f>=SUM(C18:M18)</f>
        <v>#ERROR</v>
      </c>
    </row>
    <row r="19">
      <c r="A19" s="2" t="str">
        <v>Amortización del principal</v>
      </c>
      <c r="B19" s="2" t="str">
        <v>kUSD</v>
      </c>
      <c r="C19" s="6">
        <f>=Deuda!$F$4</f>
        <v>0</v>
      </c>
      <c r="D19" s="6">
        <f>=Deuda!$F$5</f>
        <v>0</v>
      </c>
      <c r="E19" s="6">
        <f>=Deuda!$F$6</f>
        <v>60</v>
      </c>
      <c r="F19" s="6">
        <f>=Deuda!$F$7</f>
        <v>60</v>
      </c>
      <c r="G19" s="6">
        <f>=Deuda!$F$8</f>
        <v>60</v>
      </c>
      <c r="H19" s="6">
        <f>=Deuda!$F$9</f>
        <v>60</v>
      </c>
      <c r="I19" s="6">
        <f>=Deuda!$F$10</f>
        <v>60</v>
      </c>
      <c r="J19" s="6">
        <f>=Deuda!$F$11</f>
        <v>0</v>
      </c>
      <c r="K19" s="6">
        <f>=Deuda!$F$12</f>
        <v>0</v>
      </c>
      <c r="L19" s="6">
        <f>=Deuda!$F$13</f>
        <v>0</v>
      </c>
      <c r="M19" s="6">
        <f>=Deuda!$F$14</f>
        <v>0</v>
      </c>
      <c r="N19" s="21" t="str">
        <f>=SUM(C19:M19)</f>
        <v>#ERROR</v>
      </c>
    </row>
    <row r="20">
      <c r="A20" s="2" t="str">
        <v>Saldo de la deuda (fin de año)</v>
      </c>
      <c r="B20" s="2" t="str">
        <v>kUSD</v>
      </c>
      <c r="C20" s="6">
        <f>=Deuda!$H$4</f>
        <v>300</v>
      </c>
      <c r="D20" s="6">
        <f>=Deuda!$H$5</f>
        <v>300</v>
      </c>
      <c r="E20" s="6">
        <f>=Deuda!$H$6</f>
        <v>240</v>
      </c>
      <c r="F20" s="6">
        <f>=Deuda!$H$7</f>
        <v>180</v>
      </c>
      <c r="G20" s="6">
        <f>=Deuda!$H$8</f>
        <v>120</v>
      </c>
      <c r="H20" s="6">
        <f>=Deuda!$H$9</f>
        <v>60</v>
      </c>
      <c r="I20" s="6">
        <f>=Deuda!$H$10</f>
        <v>0</v>
      </c>
      <c r="J20" s="6">
        <f>=Deuda!$H$11</f>
        <v>0</v>
      </c>
      <c r="K20" s="6">
        <f>=Deuda!$H$12</f>
        <v>0</v>
      </c>
      <c r="L20" s="6">
        <f>=Deuda!$H$13</f>
        <v>0</v>
      </c>
      <c r="M20" s="6">
        <f>=Deuda!$H$14</f>
        <v>0</v>
      </c>
    </row>
    <row r="21">
      <c r="A21" s="22" t="str">
        <v>COSTOS Y GASTOS TOTALES</v>
      </c>
      <c r="B21" s="2" t="str">
        <v>kUSD</v>
      </c>
      <c r="C21" s="21">
        <f>=((((((((C$9+C$11)+C$12)+C$13)+C$14)+C$15)+C$16)+C$17)+C$18)</f>
        <v>0.775235531628533</v>
      </c>
      <c r="D21" s="21">
        <f>=((((((((D$9+D$11)+D$12)+D$13)+D$14)+D$15)+D$16)+D$17)+D$18)</f>
        <v>580.9433445491252</v>
      </c>
      <c r="E21" s="21">
        <f>=((((((((E$9+E$11)+E$12)+E$13)+E$14)+E$15)+E$16)+E$17)+E$18)</f>
        <v>609.3609867765814</v>
      </c>
      <c r="F21" s="21">
        <f>=((((((((F$9+F$11)+F$12)+F$13)+F$14)+F$15)+F$16)+F$17)+F$18)</f>
        <v>635.5083648229106</v>
      </c>
      <c r="G21" s="21">
        <f>=((((((((G$9+G$11)+G$12)+G$13)+G$14)+G$15)+G$16)+G$17)+G$18)</f>
        <v>664.4126756132573</v>
      </c>
      <c r="H21" s="21">
        <f>=((((((((H$9+H$11)+H$12)+H$13)+H$14)+H$15)+H$16)+H$17)+H$18)</f>
        <v>696.321634942209</v>
      </c>
      <c r="I21" s="21">
        <f>=((((((((I$9+I$11)+I$12)+I$13)+I$14)+I$15)+I$16)+I$17)+I$18)</f>
        <v>724.5053373832037</v>
      </c>
      <c r="J21" s="21">
        <f>=((((((((J$9+J$11)+J$12)+J$13)+J$14)+J$15)+J$16)+J$17)+J$18)</f>
        <v>778.2582852121432</v>
      </c>
      <c r="K21" s="21">
        <f>=((((((((K$9+K$11)+K$12)+K$13)+K$14)+K$15)+K$16)+K$17)+K$18)</f>
        <v>825.7016017320948</v>
      </c>
      <c r="L21" s="21">
        <f>=((((((((L$9+L$11)+L$12)+L$13)+L$14)+L$15)+L$16)+L$17)+L$18)</f>
        <v>864.2604457887472</v>
      </c>
      <c r="M21" s="21">
        <f>=((((((((M$9+M$11)+M$12)+M$13)+M$14)+M$15)+M$16)+M$17)+M$18)</f>
        <v>920.5666457971022</v>
      </c>
      <c r="N21" s="21" t="str">
        <f>=SUM(C21:M21)</f>
        <v>#ERROR</v>
      </c>
    </row>
    <row r="22">
      <c r="A22" s="22" t="str">
        <v>UTILIDAD ANTES DE IMPUESTOS</v>
      </c>
      <c r="B22" s="2" t="str">
        <v>kUSD</v>
      </c>
      <c r="C22" s="21">
        <f>=(C$7-C$21)</f>
        <v>-0.775235531628533</v>
      </c>
      <c r="D22" s="21">
        <f>=(D$7-D$21)</f>
        <v>386.85665545087477</v>
      </c>
      <c r="E22" s="21">
        <f>=(E$7-E$21)</f>
        <v>437.3147132234186</v>
      </c>
      <c r="F22" s="21">
        <f>=(F$7-F$21)</f>
        <v>496.4714047270893</v>
      </c>
      <c r="G22" s="21">
        <f>=(G$7-G$21)</f>
        <v>559.8234451550679</v>
      </c>
      <c r="H22" s="21">
        <f>=(H$7-H$21)</f>
        <v>627.6897296687342</v>
      </c>
      <c r="I22" s="21">
        <f>=(I$7-I$21)</f>
        <v>707.4129534435318</v>
      </c>
      <c r="J22" s="21">
        <f>=(J$7-J$21)</f>
        <v>770.3613463169709</v>
      </c>
      <c r="K22" s="21">
        <f>=(K$7-K$21)</f>
        <v>849.1305297666424</v>
      </c>
      <c r="L22" s="21">
        <f>=(L$7-L$21)</f>
        <v>947.0705044271368</v>
      </c>
      <c r="M22" s="21">
        <f>=(M$7-M$21)</f>
        <v>1038.3877768613766</v>
      </c>
      <c r="N22" s="21" t="str">
        <f>=SUM(C22:M22)</f>
        <v>#ERROR</v>
      </c>
    </row>
    <row r="23">
      <c r="A23" s="2" t="str">
        <v>Impuesto sobre utilidades (regla demostrativa)</v>
      </c>
      <c r="B23" s="2" t="str">
        <v>kUSD</v>
      </c>
      <c r="C23" s="6">
        <f>=MAX(0,(C$22*Parametros!$C$3))</f>
        <v>0</v>
      </c>
      <c r="D23" s="6">
        <f>=MAX(0,(D$22*Parametros!$C$3))</f>
        <v>135.39982940780615</v>
      </c>
      <c r="E23" s="6">
        <f>=MAX(0,(E$22*Parametros!$C$3))</f>
        <v>153.0601496281965</v>
      </c>
      <c r="F23" s="6">
        <f>=MAX(0,(F$22*Parametros!$C$3))</f>
        <v>173.76499165448124</v>
      </c>
      <c r="G23" s="6">
        <f>=MAX(0,(G$22*Parametros!$C$3))</f>
        <v>195.93820580427376</v>
      </c>
      <c r="H23" s="6">
        <f>=MAX(0,(H$22*Parametros!$C$3))</f>
        <v>219.69140538405696</v>
      </c>
      <c r="I23" s="6">
        <f>=MAX(0,(I$22*Parametros!$C$3))</f>
        <v>247.59453370523613</v>
      </c>
      <c r="J23" s="6">
        <f>=MAX(0,(J$22*Parametros!$C$3))</f>
        <v>269.62647121093977</v>
      </c>
      <c r="K23" s="6">
        <f>=MAX(0,(K$22*Parametros!$C$3))</f>
        <v>297.19568541832484</v>
      </c>
      <c r="L23" s="6">
        <f>=MAX(0,(L$22*Parametros!$C$3))</f>
        <v>331.4746765494979</v>
      </c>
      <c r="M23" s="6">
        <f>=MAX(0,(M$22*Parametros!$C$3))</f>
        <v>363.43572190148177</v>
      </c>
      <c r="N23" s="21" t="str">
        <f>=SUM(C23:M23)</f>
        <v>#ERROR</v>
      </c>
    </row>
    <row r="24">
      <c r="A24" s="22" t="str">
        <v>UTILIDAD DESPUÉS DE IMPUESTOS (3-4)</v>
      </c>
      <c r="B24" s="2" t="str">
        <v>kUSD</v>
      </c>
      <c r="C24" s="21">
        <f>=(C$22-C$23)</f>
        <v>-0.775235531628533</v>
      </c>
      <c r="D24" s="21">
        <f>=(D$22-D$23)</f>
        <v>251.45682604306862</v>
      </c>
      <c r="E24" s="21">
        <f>=(E$22-E$23)</f>
        <v>284.25456359522207</v>
      </c>
      <c r="F24" s="21">
        <f>=(F$22-F$23)</f>
        <v>322.70641307260803</v>
      </c>
      <c r="G24" s="21">
        <f>=(G$22-G$23)</f>
        <v>363.88523935079417</v>
      </c>
      <c r="H24" s="21">
        <f>=(H$22-H$23)</f>
        <v>407.99832428467727</v>
      </c>
      <c r="I24" s="21">
        <f>=(I$22-I$23)</f>
        <v>459.8184197382957</v>
      </c>
      <c r="J24" s="21">
        <f>=(J$22-J$23)</f>
        <v>500.7348751060311</v>
      </c>
      <c r="K24" s="21">
        <f>=(K$22-K$23)</f>
        <v>551.9348443483176</v>
      </c>
      <c r="L24" s="21">
        <f>=(L$22-L$23)</f>
        <v>615.595827877639</v>
      </c>
      <c r="M24" s="21">
        <f>=(M$22-M$23)</f>
        <v>674.9520549598948</v>
      </c>
      <c r="N24" s="21" t="str">
        <f>=SUM(C24:M24)</f>
        <v>#ERROR</v>
      </c>
    </row>
    <row r="25">
      <c r="A25" s="22" t="str">
        <v>FLUJO DE CAJA DEL PROYECTO (FCFF)</v>
      </c>
      <c r="B25" s="2" t="str">
        <v>kUSD</v>
      </c>
      <c r="C25" s="21">
        <f>=FlujosCaja!B$4</f>
        <v>-1480.7752355316286</v>
      </c>
      <c r="D25" s="21">
        <f>=FlujosCaja!C$4</f>
        <v>384.18182604306867</v>
      </c>
      <c r="E25" s="21">
        <f>=FlujosCaja!D$4</f>
        <v>416.9795635952221</v>
      </c>
      <c r="F25" s="21">
        <f>=FlujosCaja!E$4</f>
        <v>452.311413072608</v>
      </c>
      <c r="G25" s="21">
        <f>=FlujosCaja!F$4</f>
        <v>490.3702393507941</v>
      </c>
      <c r="H25" s="21">
        <f>=FlujosCaja!G$4</f>
        <v>531.3633242846772</v>
      </c>
      <c r="I25" s="21">
        <f>=FlujosCaja!H$4</f>
        <v>573.0634197382957</v>
      </c>
      <c r="J25" s="21">
        <f>=FlujosCaja!I$4</f>
        <v>475.85987510603104</v>
      </c>
      <c r="K25" s="21">
        <f>=FlujosCaja!J$4</f>
        <v>677.0598443483176</v>
      </c>
      <c r="L25" s="21">
        <f>=FlujosCaja!K$4</f>
        <v>727.595827877639</v>
      </c>
      <c r="M25" s="21">
        <f>=FlujosCaja!L$4</f>
        <v>786.9520549598948</v>
      </c>
      <c r="N25" s="21" t="str">
        <f>=SUM(C25:M25)</f>
        <v>#ERROR</v>
      </c>
    </row>
    <row r="26">
      <c r="A26" s="22" t="str">
        <v>FLUJO ACUMULADO DEL PROYECTO</v>
      </c>
      <c r="B26" s="2" t="str">
        <v>kUSD</v>
      </c>
      <c r="C26" s="21">
        <f>=IF((C$3=0),C$25,(B$26+C$25))</f>
        <v>-1480.7752355316286</v>
      </c>
      <c r="D26" s="21">
        <f>=IF((D$3=0),D$25,(C$26+D$25))</f>
        <v>-1096.59340948856</v>
      </c>
      <c r="E26" s="21">
        <f>=IF((E$3=0),E$25,(D$26+E$25))</f>
        <v>-679.6138458933378</v>
      </c>
      <c r="F26" s="21">
        <f>=IF((F$3=0),F$25,(E$26+F$25))</f>
        <v>-227.30243282072985</v>
      </c>
      <c r="G26" s="21">
        <f>=IF((G$3=0),G$25,(F$26+G$25))</f>
        <v>263.0678065300643</v>
      </c>
      <c r="H26" s="21">
        <f>=IF((H$3=0),H$25,(G$26+H$25))</f>
        <v>794.4311308147414</v>
      </c>
      <c r="I26" s="21">
        <f>=IF((I$3=0),I$25,(H$26+I$25))</f>
        <v>1367.4945505530372</v>
      </c>
      <c r="J26" s="21">
        <f>=IF((J$3=0),J$25,(I$26+J$25))</f>
        <v>1843.3544256590683</v>
      </c>
      <c r="K26" s="21">
        <f>=IF((K$3=0),K$25,(J$26+K$25))</f>
        <v>2520.4142700073858</v>
      </c>
      <c r="L26" s="21">
        <f>=IF((L$3=0),L$25,(K$26+L$25))</f>
        <v>3248.0100978850246</v>
      </c>
      <c r="M26" s="21">
        <f>=IF((M$3=0),M$25,(L$26+M$25))</f>
        <v>4034.9621528449193</v>
      </c>
    </row>
    <row r="27">
      <c r="A27" s="2" t="str">
        <v>Saldo pendiente (inversión total)</v>
      </c>
      <c r="B27" s="2" t="str">
        <v>kUSD</v>
      </c>
      <c r="C27" s="6">
        <f>=MAX(0,(-C$26))</f>
        <v>1480.7752355316286</v>
      </c>
      <c r="D27" s="6">
        <f>=MAX(0,(-D$26))</f>
        <v>1096.59340948856</v>
      </c>
      <c r="E27" s="6">
        <f>=MAX(0,(-E$26))</f>
        <v>679.6138458933378</v>
      </c>
      <c r="F27" s="6">
        <f>=MAX(0,(-F$26))</f>
        <v>227.30243282072985</v>
      </c>
      <c r="G27" s="6">
        <f>=MAX(0,(-G$26))</f>
        <v>0</v>
      </c>
      <c r="H27" s="6">
        <f>=MAX(0,(-H$26))</f>
        <v>0</v>
      </c>
      <c r="I27" s="6">
        <f>=MAX(0,(-I$26))</f>
        <v>0</v>
      </c>
      <c r="J27" s="6">
        <f>=MAX(0,(-J$26))</f>
        <v>0</v>
      </c>
      <c r="K27" s="6">
        <f>=MAX(0,(-K$26))</f>
        <v>0</v>
      </c>
      <c r="L27" s="6">
        <f>=MAX(0,(-L$26))</f>
        <v>0</v>
      </c>
      <c r="M27" s="6">
        <f>=MAX(0,(-M$26))</f>
        <v>0</v>
      </c>
      <c r="N27" s="21" t="str">
        <f>=SUM(C27:M27)</f>
        <v>#ERROR</v>
      </c>
    </row>
    <row r="28">
      <c r="A28" s="22" t="str">
        <v>FLUJO DE CAJA DE LOS SOCIOS (FCFE)</v>
      </c>
      <c r="B28" s="2" t="str">
        <v>kUSD</v>
      </c>
      <c r="C28" s="21">
        <f>=FlujosCaja!B$6</f>
        <v>-1180.7752355316286</v>
      </c>
      <c r="D28" s="21">
        <f>=FlujosCaja!C$6</f>
        <v>368.58182604306865</v>
      </c>
      <c r="E28" s="21">
        <f>=FlujosCaja!D$6</f>
        <v>341.37956359522207</v>
      </c>
      <c r="F28" s="21">
        <f>=FlujosCaja!E$6</f>
        <v>379.83141307260803</v>
      </c>
      <c r="G28" s="21">
        <f>=FlujosCaja!F$6</f>
        <v>421.0102393507941</v>
      </c>
      <c r="H28" s="21">
        <f>=FlujosCaja!G$6</f>
        <v>465.1233242846772</v>
      </c>
      <c r="I28" s="21">
        <f>=FlujosCaja!H$6</f>
        <v>509.9434197382957</v>
      </c>
      <c r="J28" s="21">
        <f>=FlujosCaja!I$6</f>
        <v>475.85987510603104</v>
      </c>
      <c r="K28" s="21">
        <f>=FlujosCaja!J$6</f>
        <v>677.0598443483176</v>
      </c>
      <c r="L28" s="21">
        <f>=FlujosCaja!K$6</f>
        <v>727.595827877639</v>
      </c>
      <c r="M28" s="21">
        <f>=FlujosCaja!L$6</f>
        <v>786.9520549598948</v>
      </c>
      <c r="N28" s="21" t="str">
        <f>=SUM(C28:M28)</f>
        <v>#ERROR</v>
      </c>
    </row>
    <row r="29">
      <c r="A29" s="22" t="str">
        <v>FLUJO ACUMULADO DE LOS SOCIOS</v>
      </c>
      <c r="B29" s="2" t="str">
        <v>kUSD</v>
      </c>
      <c r="C29" s="21">
        <f>=IF((C$3=0),C$28,(B$29+C$28))</f>
        <v>-1180.7752355316286</v>
      </c>
      <c r="D29" s="21">
        <f>=IF((D$3=0),D$28,(C$29+D$28))</f>
        <v>-812.19340948856</v>
      </c>
      <c r="E29" s="21">
        <f>=IF((E$3=0),E$28,(D$29+E$28))</f>
        <v>-470.8138458933379</v>
      </c>
      <c r="F29" s="21">
        <f>=IF((F$3=0),F$28,(E$29+F$28))</f>
        <v>-90.98243282072985</v>
      </c>
      <c r="G29" s="21">
        <f>=IF((G$3=0),G$28,(F$29+G$28))</f>
        <v>330.02780653006425</v>
      </c>
      <c r="H29" s="21">
        <f>=IF((H$3=0),H$28,(G$29+H$28))</f>
        <v>795.1511308147415</v>
      </c>
      <c r="I29" s="21">
        <f>=IF((I$3=0),I$28,(H$29+I$28))</f>
        <v>1305.0945505530372</v>
      </c>
      <c r="J29" s="21">
        <f>=IF((J$3=0),J$28,(I$29+J$28))</f>
        <v>1780.9544256590682</v>
      </c>
      <c r="K29" s="21">
        <f>=IF((K$3=0),K$28,(J$29+K$28))</f>
        <v>2458.0142700073857</v>
      </c>
      <c r="L29" s="21">
        <f>=IF((L$3=0),L$28,(K$29+L$28))</f>
        <v>3185.6100978850245</v>
      </c>
      <c r="M29" s="21">
        <f>=IF((M$3=0),M$28,(L$29+M$28))</f>
        <v>3972.562152844919</v>
      </c>
    </row>
    <row r="30">
      <c r="A30" s="2" t="str">
        <v>Saldo pendiente (capital aportado)</v>
      </c>
      <c r="B30" s="2" t="str">
        <v>kUSD</v>
      </c>
      <c r="C30" s="6">
        <f>=MAX(0,(-C$29))</f>
        <v>1180.7752355316286</v>
      </c>
      <c r="D30" s="6">
        <f>=MAX(0,(-D$29))</f>
        <v>812.19340948856</v>
      </c>
      <c r="E30" s="6">
        <f>=MAX(0,(-E$29))</f>
        <v>470.8138458933379</v>
      </c>
      <c r="F30" s="6">
        <f>=MAX(0,(-F$29))</f>
        <v>90.98243282072985</v>
      </c>
      <c r="G30" s="6">
        <f>=MAX(0,(-G$29))</f>
        <v>0</v>
      </c>
      <c r="H30" s="6">
        <f>=MAX(0,(-H$29))</f>
        <v>0</v>
      </c>
      <c r="I30" s="6">
        <f>=MAX(0,(-I$29))</f>
        <v>0</v>
      </c>
      <c r="J30" s="6">
        <f>=MAX(0,(-J$29))</f>
        <v>0</v>
      </c>
      <c r="K30" s="6">
        <f>=MAX(0,(-K$29))</f>
        <v>0</v>
      </c>
      <c r="L30" s="6">
        <f>=MAX(0,(-L$29))</f>
        <v>0</v>
      </c>
      <c r="M30" s="6">
        <f>=MAX(0,(-M$29))</f>
        <v>0</v>
      </c>
      <c r="N30" s="21" t="str">
        <f>=SUM(C30:M30)</f>
        <v>#ERROR</v>
      </c>
    </row>
    <row r="31">
      <c r="A31" s="2" t="str">
        <v>Dividendos pagables</v>
      </c>
      <c r="B31" s="2" t="str">
        <v>kUSD</v>
      </c>
      <c r="C31" s="6">
        <f>=Dividendos!B$11</f>
        <v>0</v>
      </c>
      <c r="D31" s="6">
        <f>=Dividendos!C$11</f>
        <v>0</v>
      </c>
      <c r="E31" s="6">
        <f>=Dividendos!D$11</f>
        <v>0</v>
      </c>
      <c r="F31" s="6">
        <f>=Dividendos!E$11</f>
        <v>0</v>
      </c>
      <c r="G31" s="6">
        <f>=Dividendos!F$11</f>
        <v>330.02780653006425</v>
      </c>
      <c r="H31" s="6">
        <f>=Dividendos!G$11</f>
        <v>467.34893826957585</v>
      </c>
      <c r="I31" s="6">
        <f>=Dividendos!H$11</f>
        <v>417.2253111035422</v>
      </c>
      <c r="J31" s="6">
        <f>=Dividendos!I$11</f>
        <v>413.082083794308</v>
      </c>
      <c r="K31" s="6">
        <f>=Dividendos!J$11</f>
        <v>434.2576176641815</v>
      </c>
      <c r="L31" s="6">
        <f>=Dividendos!K$11</f>
        <v>472.4340504938192</v>
      </c>
      <c r="M31" s="6">
        <f>=Dividendos!L$11</f>
        <v>516.3237474541713</v>
      </c>
      <c r="N31" s="21" t="str">
        <f>=SUM(C31:M31)</f>
        <v>#ERROR</v>
      </c>
    </row>
    <row r="32">
      <c r="A32" s="2" t="str">
        <v>Dividendos de la parte cubana</v>
      </c>
      <c r="B32" s="2" t="str">
        <v>kUSD</v>
      </c>
      <c r="C32" s="6">
        <f>=Dividendos!B$12</f>
        <v>0</v>
      </c>
      <c r="D32" s="6">
        <f>=Dividendos!C$12</f>
        <v>0</v>
      </c>
      <c r="E32" s="6">
        <f>=Dividendos!D$12</f>
        <v>0</v>
      </c>
      <c r="F32" s="6">
        <f>=Dividendos!E$12</f>
        <v>0</v>
      </c>
      <c r="G32" s="6">
        <f>=Dividendos!F$12</f>
        <v>132.0111226120257</v>
      </c>
      <c r="H32" s="6">
        <f>=Dividendos!G$12</f>
        <v>186.93957530783035</v>
      </c>
      <c r="I32" s="6">
        <f>=Dividendos!H$12</f>
        <v>166.8901244414169</v>
      </c>
      <c r="J32" s="6">
        <f>=Dividendos!I$12</f>
        <v>165.2328335177232</v>
      </c>
      <c r="K32" s="6">
        <f>=Dividendos!J$12</f>
        <v>173.70304706567262</v>
      </c>
      <c r="L32" s="6">
        <f>=Dividendos!K$12</f>
        <v>188.97362019752768</v>
      </c>
      <c r="M32" s="6">
        <f>=Dividendos!L$12</f>
        <v>206.52949898166855</v>
      </c>
      <c r="N32" s="21" t="str">
        <f>=SUM(C32:M32)</f>
        <v>#ERROR</v>
      </c>
    </row>
    <row r="33">
      <c r="A33" s="2" t="str">
        <v>Pagos por la fuerza de trabajo</v>
      </c>
      <c r="B33" s="2" t="str">
        <v>kUSD</v>
      </c>
      <c r="C33" s="6">
        <f>=C$11</f>
        <v>0.775235531628533</v>
      </c>
      <c r="D33" s="6">
        <f>=D$11</f>
        <v>20.60834454912517</v>
      </c>
      <c r="E33" s="6">
        <f>=E$11</f>
        <v>21.63876177658143</v>
      </c>
      <c r="F33" s="6">
        <f>=F$11</f>
        <v>22.7206998654105</v>
      </c>
      <c r="G33" s="6">
        <f>=G$11</f>
        <v>23.85673485868103</v>
      </c>
      <c r="H33" s="6">
        <f>=H$11</f>
        <v>25.049571601615074</v>
      </c>
      <c r="I33" s="6">
        <f>=I$11</f>
        <v>26.302050181695833</v>
      </c>
      <c r="J33" s="6">
        <f>=J$11</f>
        <v>27.617152690780614</v>
      </c>
      <c r="K33" s="6">
        <f>=K$11</f>
        <v>28.998010325319655</v>
      </c>
      <c r="L33" s="6">
        <f>=L$11</f>
        <v>30.447910841585635</v>
      </c>
      <c r="M33" s="6">
        <f>=M$11</f>
        <v>31.97030638366492</v>
      </c>
      <c r="N33" s="21" t="str">
        <f>=SUM(C33:M33)</f>
        <v>#ERROR</v>
      </c>
    </row>
    <row r="34">
      <c r="A34" s="2" t="str">
        <v>Otros impuestos (años de operación)</v>
      </c>
      <c r="B34" s="2" t="str">
        <v>kUSD</v>
      </c>
      <c r="C34" s="6">
        <f>=IF((C$3&gt;=1),(Parametros!$C$27*((1+Parametros!$C$9)^MAX(0,(C$3-1)))),0)</f>
        <v>0</v>
      </c>
      <c r="D34" s="6">
        <f>=IF((D$3&gt;=1),(Parametros!$C$27*((1+Parametros!$C$9)^MAX(0,(D$3-1)))),0)</f>
        <v>5</v>
      </c>
      <c r="E34" s="6">
        <f>=IF((E$3&gt;=1),(Parametros!$C$27*((1+Parametros!$C$9)^MAX(0,(E$3-1)))),0)</f>
        <v>5</v>
      </c>
      <c r="F34" s="6">
        <f>=IF((F$3&gt;=1),(Parametros!$C$27*((1+Parametros!$C$9)^MAX(0,(F$3-1)))),0)</f>
        <v>5</v>
      </c>
      <c r="G34" s="6">
        <f>=IF((G$3&gt;=1),(Parametros!$C$27*((1+Parametros!$C$9)^MAX(0,(G$3-1)))),0)</f>
        <v>5</v>
      </c>
      <c r="H34" s="6">
        <f>=IF((H$3&gt;=1),(Parametros!$C$27*((1+Parametros!$C$9)^MAX(0,(H$3-1)))),0)</f>
        <v>5</v>
      </c>
      <c r="I34" s="6">
        <f>=IF((I$3&gt;=1),(Parametros!$C$27*((1+Parametros!$C$9)^MAX(0,(I$3-1)))),0)</f>
        <v>5</v>
      </c>
      <c r="J34" s="6">
        <f>=IF((J$3&gt;=1),(Parametros!$C$27*((1+Parametros!$C$9)^MAX(0,(J$3-1)))),0)</f>
        <v>5</v>
      </c>
      <c r="K34" s="6">
        <f>=IF((K$3&gt;=1),(Parametros!$C$27*((1+Parametros!$C$9)^MAX(0,(K$3-1)))),0)</f>
        <v>5</v>
      </c>
      <c r="L34" s="6">
        <f>=IF((L$3&gt;=1),(Parametros!$C$27*((1+Parametros!$C$9)^MAX(0,(L$3-1)))),0)</f>
        <v>5</v>
      </c>
      <c r="M34" s="6">
        <f>=IF((M$3&gt;=1),(Parametros!$C$27*((1+Parametros!$C$9)^MAX(0,(M$3-1)))),0)</f>
        <v>5</v>
      </c>
      <c r="N34" s="21" t="str">
        <f>=SUM(C34:M34)</f>
        <v>#ERROR</v>
      </c>
    </row>
    <row r="35">
      <c r="A35" s="2" t="str">
        <v>Aranceles (años de operación)</v>
      </c>
      <c r="B35" s="2" t="str">
        <v>kUSD</v>
      </c>
      <c r="C35" s="6">
        <f>=IF((C$3&gt;=1),(Parametros!$C$26*((1+Parametros!$C$9)^MAX(0,(C$3-1)))),0)</f>
        <v>0</v>
      </c>
      <c r="D35" s="6">
        <f>=IF((D$3&gt;=1),(Parametros!$C$26*((1+Parametros!$C$9)^MAX(0,(D$3-1)))),0)</f>
        <v>8</v>
      </c>
      <c r="E35" s="6">
        <f>=IF((E$3&gt;=1),(Parametros!$C$26*((1+Parametros!$C$9)^MAX(0,(E$3-1)))),0)</f>
        <v>8</v>
      </c>
      <c r="F35" s="6">
        <f>=IF((F$3&gt;=1),(Parametros!$C$26*((1+Parametros!$C$9)^MAX(0,(F$3-1)))),0)</f>
        <v>8</v>
      </c>
      <c r="G35" s="6">
        <f>=IF((G$3&gt;=1),(Parametros!$C$26*((1+Parametros!$C$9)^MAX(0,(G$3-1)))),0)</f>
        <v>8</v>
      </c>
      <c r="H35" s="6">
        <f>=IF((H$3&gt;=1),(Parametros!$C$26*((1+Parametros!$C$9)^MAX(0,(H$3-1)))),0)</f>
        <v>8</v>
      </c>
      <c r="I35" s="6">
        <f>=IF((I$3&gt;=1),(Parametros!$C$26*((1+Parametros!$C$9)^MAX(0,(I$3-1)))),0)</f>
        <v>8</v>
      </c>
      <c r="J35" s="6">
        <f>=IF((J$3&gt;=1),(Parametros!$C$26*((1+Parametros!$C$9)^MAX(0,(J$3-1)))),0)</f>
        <v>8</v>
      </c>
      <c r="K35" s="6">
        <f>=IF((K$3&gt;=1),(Parametros!$C$26*((1+Parametros!$C$9)^MAX(0,(K$3-1)))),0)</f>
        <v>8</v>
      </c>
      <c r="L35" s="6">
        <f>=IF((L$3&gt;=1),(Parametros!$C$26*((1+Parametros!$C$9)^MAX(0,(L$3-1)))),0)</f>
        <v>8</v>
      </c>
      <c r="M35" s="6">
        <f>=IF((M$3&gt;=1),(Parametros!$C$26*((1+Parametros!$C$9)^MAX(0,(M$3-1)))),0)</f>
        <v>8</v>
      </c>
      <c r="N35" s="21" t="str">
        <f>=SUM(C35:M35)</f>
        <v>#ERROR</v>
      </c>
    </row>
    <row r="36">
      <c r="A36" s="2" t="str">
        <v>Royalties (años de operación)</v>
      </c>
      <c r="B36" s="2" t="str">
        <v>kUSD</v>
      </c>
      <c r="C36" s="6">
        <f>=IF((C$3&gt;=1),(Parametros!$C$28*((1+Parametros!$C$9)^MAX(0,(C$3-1)))),0)</f>
        <v>0</v>
      </c>
      <c r="D36" s="6">
        <f>=IF((D$3&gt;=1),(Parametros!$C$28*((1+Parametros!$C$9)^MAX(0,(D$3-1)))),0)</f>
        <v>0</v>
      </c>
      <c r="E36" s="6">
        <f>=IF((E$3&gt;=1),(Parametros!$C$28*((1+Parametros!$C$9)^MAX(0,(E$3-1)))),0)</f>
        <v>0</v>
      </c>
      <c r="F36" s="6">
        <f>=IF((F$3&gt;=1),(Parametros!$C$28*((1+Parametros!$C$9)^MAX(0,(F$3-1)))),0)</f>
        <v>0</v>
      </c>
      <c r="G36" s="6">
        <f>=IF((G$3&gt;=1),(Parametros!$C$28*((1+Parametros!$C$9)^MAX(0,(G$3-1)))),0)</f>
        <v>0</v>
      </c>
      <c r="H36" s="6">
        <f>=IF((H$3&gt;=1),(Parametros!$C$28*((1+Parametros!$C$9)^MAX(0,(H$3-1)))),0)</f>
        <v>0</v>
      </c>
      <c r="I36" s="6">
        <f>=IF((I$3&gt;=1),(Parametros!$C$28*((1+Parametros!$C$9)^MAX(0,(I$3-1)))),0)</f>
        <v>0</v>
      </c>
      <c r="J36" s="6">
        <f>=IF((J$3&gt;=1),(Parametros!$C$28*((1+Parametros!$C$9)^MAX(0,(J$3-1)))),0)</f>
        <v>0</v>
      </c>
      <c r="K36" s="6">
        <f>=IF((K$3&gt;=1),(Parametros!$C$28*((1+Parametros!$C$9)^MAX(0,(K$3-1)))),0)</f>
        <v>0</v>
      </c>
      <c r="L36" s="6">
        <f>=IF((L$3&gt;=1),(Parametros!$C$28*((1+Parametros!$C$9)^MAX(0,(L$3-1)))),0)</f>
        <v>0</v>
      </c>
      <c r="M36" s="6">
        <f>=IF((M$3&gt;=1),(Parametros!$C$28*((1+Parametros!$C$9)^MAX(0,(M$3-1)))),0)</f>
        <v>0</v>
      </c>
      <c r="N36" s="21" t="str">
        <f>=SUM(C36:M36)</f>
        <v>#ERROR</v>
      </c>
    </row>
    <row r="37">
      <c r="A37" s="2" t="str">
        <v>Otros ingresos al país (años de operación)</v>
      </c>
      <c r="B37" s="2" t="str">
        <v>kUSD</v>
      </c>
      <c r="C37" s="6">
        <f>=IF((C$3&gt;=1),Parametros!$C$29,0)</f>
        <v>0</v>
      </c>
      <c r="D37" s="6">
        <f>=IF((D$3&gt;=1),Parametros!$C$29,0)</f>
        <v>0</v>
      </c>
      <c r="E37" s="6">
        <f>=IF((E$3&gt;=1),Parametros!$C$29,0)</f>
        <v>0</v>
      </c>
      <c r="F37" s="6">
        <f>=IF((F$3&gt;=1),Parametros!$C$29,0)</f>
        <v>0</v>
      </c>
      <c r="G37" s="6">
        <f>=IF((G$3&gt;=1),Parametros!$C$29,0)</f>
        <v>0</v>
      </c>
      <c r="H37" s="6">
        <f>=IF((H$3&gt;=1),Parametros!$C$29,0)</f>
        <v>0</v>
      </c>
      <c r="I37" s="6">
        <f>=IF((I$3&gt;=1),Parametros!$C$29,0)</f>
        <v>0</v>
      </c>
      <c r="J37" s="6">
        <f>=IF((J$3&gt;=1),Parametros!$C$29,0)</f>
        <v>0</v>
      </c>
      <c r="K37" s="6">
        <f>=IF((K$3&gt;=1),Parametros!$C$29,0)</f>
        <v>0</v>
      </c>
      <c r="L37" s="6">
        <f>=IF((L$3&gt;=1),Parametros!$C$29,0)</f>
        <v>0</v>
      </c>
      <c r="M37" s="6">
        <f>=IF((M$3&gt;=1),Parametros!$C$29,0)</f>
        <v>0</v>
      </c>
      <c r="N37" s="21" t="str">
        <f>=SUM(C37:M37)</f>
        <v>#ERROR</v>
      </c>
    </row>
    <row r="38">
      <c r="A38" s="22" t="str">
        <v>TOTAL BENEFICIOS DIRECTOS AL PAÍS</v>
      </c>
      <c r="B38" s="2" t="str">
        <v>kUSD</v>
      </c>
      <c r="C38" s="21">
        <f>=(((((((C$23+C$34)+C$35)+C$32)+C$33)+C$12)+C$36)+C$37)</f>
        <v>0.775235531628533</v>
      </c>
      <c r="D38" s="21">
        <f>=(((((((D$23+D$34)+D$35)+D$32)+D$33)+D$12)+D$36)+D$37)</f>
        <v>199.00817395693133</v>
      </c>
      <c r="E38" s="21">
        <f>=(((((((E$23+E$34)+E$35)+E$32)+E$33)+E$12)+E$36)+E$37)</f>
        <v>217.69891140477793</v>
      </c>
      <c r="F38" s="21">
        <f>=(((((((F$23+F$34)+F$35)+F$32)+F$33)+F$12)+F$36)+F$37)</f>
        <v>239.48569151989173</v>
      </c>
      <c r="G38" s="21">
        <f>=(((((((G$23+G$34)+G$35)+G$32)+G$33)+G$12)+G$36)+G$37)</f>
        <v>394.8060632749805</v>
      </c>
      <c r="H38" s="21">
        <f>=(((((((H$23+H$34)+H$35)+H$32)+H$33)+H$12)+H$36)+H$37)</f>
        <v>474.6805522935024</v>
      </c>
      <c r="I38" s="21">
        <f>=(((((((I$23+I$34)+I$35)+I$32)+I$33)+I$12)+I$36)+I$37)</f>
        <v>483.7867083283489</v>
      </c>
      <c r="J38" s="21">
        <f>=(((((((J$23+J$34)+J$35)+J$32)+J$33)+J$12)+J$36)+J$37)</f>
        <v>505.4764574194436</v>
      </c>
      <c r="K38" s="21">
        <f>=(((((((K$23+K$34)+K$35)+K$32)+K$33)+K$12)+K$36)+K$37)</f>
        <v>542.8967428093172</v>
      </c>
      <c r="L38" s="21">
        <f>=(((((((L$23+L$34)+L$35)+L$32)+L$33)+L$12)+L$36)+L$37)</f>
        <v>593.8962075886112</v>
      </c>
      <c r="M38" s="21">
        <f>=(((((((M$23+M$34)+M$35)+M$32)+M$33)+M$12)+M$36)+M$37)</f>
        <v>644.9355272668153</v>
      </c>
      <c r="N38" s="21" t="str">
        <f>=SUM(C38:M38)</f>
        <v>#ERROR</v>
      </c>
    </row>
  </sheetData>
  <ignoredErrors>
    <ignoredError numberStoredAsText="1" sqref="A1:N38"/>
  </ignoredErrors>
</worksheet>
</file>

<file path=xl/worksheets/sheet13.xml><?xml version="1.0" encoding="utf-8"?>
<worksheet xmlns="http://schemas.openxmlformats.org/spreadsheetml/2006/main" xmlns:r="http://schemas.openxmlformats.org/officeDocument/2006/relationships">
  <dimension ref="A1:L17"/>
  <sheetViews>
    <sheetView workbookViewId="0"/>
  </sheetViews>
  <cols>
    <col min="1" max="1" width="48.83203125" customWidth="1"/>
    <col min="2" max="2" width="11.83203125" customWidth="1"/>
    <col min="3" max="3" width="11.83203125" customWidth="1"/>
    <col min="4" max="4" width="11.83203125" customWidth="1"/>
    <col min="5" max="5" width="11.83203125" customWidth="1"/>
    <col min="6" max="6" width="11.83203125" customWidth="1"/>
    <col min="7" max="7" width="11.83203125" customWidth="1"/>
    <col min="8" max="8" width="11.83203125" customWidth="1"/>
    <col min="9" max="9" width="11.83203125" customWidth="1"/>
    <col min="10" max="10" width="11.83203125" customWidth="1"/>
    <col min="11" max="11" width="11.83203125" customWidth="1"/>
    <col min="12" max="12" width="11.83203125" customWidth="1"/>
  </cols>
  <sheetData>
    <row r="1">
      <c r="A1" s="3" t="str">
        <v>Flujos de caja, recuperación y partidas del motor (4.7 / misión §4)</v>
      </c>
    </row>
    <row r="2">
      <c r="A2" s="8" t="str">
        <v>FCFF = UDI + (interés devengado − escudo fiscal) + depreciación − CAPEX de ampliaciones + recuperación del capital de trabajo (año 0: −inversión total). FCFE = FCFF − interés pagado + escudo fiscal + desembolso − amortización. Recuperación por interpolación lineal del acumulado. El escudo se deriva de la regla de impuestos activa (regla plana: interés × tasa).</v>
      </c>
    </row>
    <row r="3">
      <c r="A3" s="28" t="str">
        <v>Concepto</v>
      </c>
      <c r="B3" s="28">
        <v>0</v>
      </c>
      <c r="C3" s="28">
        <v>1</v>
      </c>
      <c r="D3" s="28">
        <v>2</v>
      </c>
      <c r="E3" s="28">
        <v>3</v>
      </c>
      <c r="F3" s="28">
        <v>4</v>
      </c>
      <c r="G3" s="28">
        <v>5</v>
      </c>
      <c r="H3" s="28">
        <v>6</v>
      </c>
      <c r="I3" s="28">
        <v>7</v>
      </c>
      <c r="J3" s="28">
        <v>8</v>
      </c>
      <c r="K3" s="28">
        <v>9</v>
      </c>
      <c r="L3" s="28">
        <v>10</v>
      </c>
    </row>
    <row r="4">
      <c r="A4" s="2" t="str">
        <v>Flujo de caja del PROYECTO (FCFF)</v>
      </c>
      <c r="B4" s="6">
        <f>=Proyecciones!B$24+Deuda!$D$4+Depreciacion!I$13-FlujosCaja!B$16+FlujosCaja!B$17-Financiacion!$D$8</f>
        <v>-1480.7752355316286</v>
      </c>
      <c r="C4" s="6">
        <f>=Proyecciones!C$24+Deuda!$D$5+Depreciacion!J$13-FlujosCaja!C$16+FlujosCaja!C$17</f>
        <v>384.18182604306867</v>
      </c>
      <c r="D4" s="6">
        <f>=Proyecciones!D$24+Deuda!$D$6+Depreciacion!K$13-FlujosCaja!D$16+FlujosCaja!D$17</f>
        <v>416.9795635952221</v>
      </c>
      <c r="E4" s="6">
        <f>=Proyecciones!E$24+Deuda!$D$7+Depreciacion!L$13-FlujosCaja!E$16+FlujosCaja!E$17</f>
        <v>452.311413072608</v>
      </c>
      <c r="F4" s="6">
        <f>=Proyecciones!F$24+Deuda!$D$8+Depreciacion!M$13-FlujosCaja!F$16+FlujosCaja!F$17</f>
        <v>490.3702393507941</v>
      </c>
      <c r="G4" s="6">
        <f>=Proyecciones!G$24+Deuda!$D$9+Depreciacion!N$13-FlujosCaja!G$16+FlujosCaja!G$17</f>
        <v>531.3633242846772</v>
      </c>
      <c r="H4" s="6">
        <f>=Proyecciones!H$24+Deuda!$D$10+Depreciacion!O$13-FlujosCaja!H$16+FlujosCaja!H$17</f>
        <v>573.0634197382957</v>
      </c>
      <c r="I4" s="6">
        <f>=Proyecciones!I$24+Deuda!$D$11+Depreciacion!P$13-FlujosCaja!I$16+FlujosCaja!I$17</f>
        <v>475.85987510603104</v>
      </c>
      <c r="J4" s="6">
        <f>=Proyecciones!J$24+Deuda!$D$12+Depreciacion!Q$13-FlujosCaja!J$16+FlujosCaja!J$17</f>
        <v>677.0598443483176</v>
      </c>
      <c r="K4" s="6">
        <f>=Proyecciones!K$24+Deuda!$D$13+Depreciacion!R$13-FlujosCaja!K$16+FlujosCaja!K$17</f>
        <v>727.595827877639</v>
      </c>
      <c r="L4" s="6">
        <f>=Proyecciones!L$24+Deuda!$D$14+Depreciacion!S$13-FlujosCaja!L$16+FlujosCaja!L$17</f>
        <v>786.9520549598948</v>
      </c>
    </row>
    <row r="5">
      <c r="A5" s="2" t="str">
        <v>Flujo acumulado del proyecto</v>
      </c>
      <c r="B5" s="6">
        <f>=B$4</f>
        <v>-1480.7752355316286</v>
      </c>
      <c r="C5" s="6">
        <f>=B$5+C$4</f>
        <v>-1096.59340948856</v>
      </c>
      <c r="D5" s="6">
        <f>=C$5+D$4</f>
        <v>-679.6138458933378</v>
      </c>
      <c r="E5" s="6">
        <f>=D$5+E$4</f>
        <v>-227.30243282072985</v>
      </c>
      <c r="F5" s="6">
        <f>=E$5+F$4</f>
        <v>263.0678065300643</v>
      </c>
      <c r="G5" s="6">
        <f>=F$5+G$4</f>
        <v>794.4311308147414</v>
      </c>
      <c r="H5" s="6">
        <f>=G$5+H$4</f>
        <v>1367.4945505530372</v>
      </c>
      <c r="I5" s="6">
        <f>=H$5+I$4</f>
        <v>1843.3544256590683</v>
      </c>
      <c r="J5" s="6">
        <f>=I$5+J$4</f>
        <v>2520.4142700073858</v>
      </c>
      <c r="K5" s="6">
        <f>=J$5+K$4</f>
        <v>3248.0100978850246</v>
      </c>
      <c r="L5" s="6">
        <f>=K$5+L$4</f>
        <v>4034.9621528449193</v>
      </c>
    </row>
    <row r="6">
      <c r="A6" s="2" t="str">
        <v>Flujo de caja de los SOCIOS (FCFE)</v>
      </c>
      <c r="B6" s="6">
        <f>=B$4-Deuda!$G$4+Deuda!$C$4-Deuda!$F$4</f>
        <v>-1180.7752355316286</v>
      </c>
      <c r="C6" s="6">
        <f>=C$4-Deuda!$G$5+Deuda!$C$5-Deuda!$F$5</f>
        <v>368.58182604306865</v>
      </c>
      <c r="D6" s="6">
        <f>=D$4-Deuda!$G$6+Deuda!$C$6-Deuda!$F$6</f>
        <v>341.37956359522207</v>
      </c>
      <c r="E6" s="6">
        <f>=E$4-Deuda!$G$7+Deuda!$C$7-Deuda!$F$7</f>
        <v>379.83141307260803</v>
      </c>
      <c r="F6" s="6">
        <f>=F$4-Deuda!$G$8+Deuda!$C$8-Deuda!$F$8</f>
        <v>421.0102393507941</v>
      </c>
      <c r="G6" s="6">
        <f>=G$4-Deuda!$G$9+Deuda!$C$9-Deuda!$F$9</f>
        <v>465.1233242846772</v>
      </c>
      <c r="H6" s="6">
        <f>=H$4-Deuda!$G$10+Deuda!$C$10-Deuda!$F$10</f>
        <v>509.9434197382957</v>
      </c>
      <c r="I6" s="6">
        <f>=I$4-Deuda!$G$11+Deuda!$C$11-Deuda!$F$11</f>
        <v>475.85987510603104</v>
      </c>
      <c r="J6" s="6">
        <f>=J$4-Deuda!$G$12+Deuda!$C$12-Deuda!$F$12</f>
        <v>677.0598443483176</v>
      </c>
      <c r="K6" s="6">
        <f>=K$4-Deuda!$G$13+Deuda!$C$13-Deuda!$F$13</f>
        <v>727.595827877639</v>
      </c>
      <c r="L6" s="6">
        <f>=L$4-Deuda!$G$14+Deuda!$C$14-Deuda!$F$14</f>
        <v>786.9520549598948</v>
      </c>
    </row>
    <row r="7">
      <c r="A7" s="2" t="str">
        <v>Flujo acumulado de los socios</v>
      </c>
      <c r="B7" s="6">
        <f>=B$6</f>
        <v>-1180.7752355316286</v>
      </c>
      <c r="C7" s="6">
        <f>=B$7+C$6</f>
        <v>-812.19340948856</v>
      </c>
      <c r="D7" s="6">
        <f>=C$7+D$6</f>
        <v>-470.8138458933379</v>
      </c>
      <c r="E7" s="6">
        <f>=D$7+E$6</f>
        <v>-90.98243282072985</v>
      </c>
      <c r="F7" s="6">
        <f>=E$7+F$6</f>
        <v>330.02780653006425</v>
      </c>
      <c r="G7" s="6">
        <f>=F$7+G$6</f>
        <v>795.1511308147415</v>
      </c>
      <c r="H7" s="6">
        <f>=G$7+H$6</f>
        <v>1305.0945505530372</v>
      </c>
      <c r="I7" s="6">
        <f>=H$7+I$6</f>
        <v>1780.9544256590682</v>
      </c>
      <c r="J7" s="6">
        <f>=I$7+J$6</f>
        <v>2458.0142700073857</v>
      </c>
      <c r="K7" s="6">
        <f>=J$7+K$6</f>
        <v>3185.6100978850245</v>
      </c>
      <c r="L7" s="6">
        <f>=K$7+L$6</f>
        <v>3972.562152844919</v>
      </c>
    </row>
    <row r="8">
      <c r="A8" s="2" t="str">
        <v>Saldo pendiente (inversión total)</v>
      </c>
      <c r="B8" s="6">
        <f>=MAX(0,-B$5)</f>
        <v>1480.7752355316286</v>
      </c>
      <c r="C8" s="6">
        <f>=MAX(0,-C$5)</f>
        <v>1096.59340948856</v>
      </c>
      <c r="D8" s="6">
        <f>=MAX(0,-D$5)</f>
        <v>679.6138458933378</v>
      </c>
      <c r="E8" s="6">
        <f>=MAX(0,-E$5)</f>
        <v>227.30243282072985</v>
      </c>
      <c r="F8" s="6">
        <f>=MAX(0,-F$5)</f>
        <v>0</v>
      </c>
      <c r="G8" s="6">
        <f>=MAX(0,-G$5)</f>
        <v>0</v>
      </c>
      <c r="H8" s="6">
        <f>=MAX(0,-H$5)</f>
        <v>0</v>
      </c>
      <c r="I8" s="6">
        <f>=MAX(0,-I$5)</f>
        <v>0</v>
      </c>
      <c r="J8" s="6">
        <f>=MAX(0,-J$5)</f>
        <v>0</v>
      </c>
      <c r="K8" s="6">
        <f>=MAX(0,-K$5)</f>
        <v>0</v>
      </c>
      <c r="L8" s="6">
        <f>=MAX(0,-L$5)</f>
        <v>0</v>
      </c>
    </row>
    <row r="9">
      <c r="A9" s="2" t="str">
        <v>Saldo pendiente (capital aportado)</v>
      </c>
      <c r="B9" s="6">
        <f>=MAX(0,-B$7)</f>
        <v>1180.7752355316286</v>
      </c>
      <c r="C9" s="6">
        <f>=MAX(0,-C$7)</f>
        <v>812.19340948856</v>
      </c>
      <c r="D9" s="6">
        <f>=MAX(0,-D$7)</f>
        <v>470.8138458933379</v>
      </c>
      <c r="E9" s="6">
        <f>=MAX(0,-E$7)</f>
        <v>90.98243282072985</v>
      </c>
      <c r="F9" s="6">
        <f>=MAX(0,-F$7)</f>
        <v>0</v>
      </c>
      <c r="G9" s="6">
        <f>=MAX(0,-G$7)</f>
        <v>0</v>
      </c>
      <c r="H9" s="6">
        <f>=MAX(0,-H$7)</f>
        <v>0</v>
      </c>
      <c r="I9" s="6">
        <f>=MAX(0,-I$7)</f>
        <v>0</v>
      </c>
      <c r="J9" s="6">
        <f>=MAX(0,-J$7)</f>
        <v>0</v>
      </c>
      <c r="K9" s="6">
        <f>=MAX(0,-K$7)</f>
        <v>0</v>
      </c>
      <c r="L9" s="6">
        <f>=MAX(0,-L$7)</f>
        <v>0</v>
      </c>
    </row>
    <row r="11">
      <c r="A11" s="2" t="str">
        <v>Cruce del acumulado del proyecto (interpolación)</v>
      </c>
      <c r="C11" s="7" t="str">
        <f>=IF(AND(B$5&lt;0,C$5&gt;=0),B$$3+ABS(B$5)/(C$5-B$5),"")</f>
        <v/>
      </c>
      <c r="D11" s="7" t="str">
        <f>=IF(AND(C$5&lt;0,D$5&gt;=0),C$$3+ABS(C$5)/(D$5-C$5),"")</f>
        <v/>
      </c>
      <c r="E11" s="7" t="str">
        <f>=IF(AND(D$5&lt;0,E$5&gt;=0),D$$3+ABS(D$5)/(E$5-D$5),"")</f>
        <v/>
      </c>
      <c r="F11" s="7" t="str">
        <f>=IF(AND(E$5&lt;0,F$5&gt;=0),E$$3+ABS(E$5)/(F$5-E$5),"")</f>
        <v/>
      </c>
      <c r="G11" s="7" t="str">
        <f>=IF(AND(F$5&lt;0,G$5&gt;=0),F$$3+ABS(F$5)/(G$5-F$5),"")</f>
        <v/>
      </c>
      <c r="H11" s="7" t="str">
        <f>=IF(AND(G$5&lt;0,H$5&gt;=0),G$$3+ABS(G$5)/(H$5-G$5),"")</f>
        <v/>
      </c>
      <c r="I11" s="7" t="str">
        <f>=IF(AND(H$5&lt;0,I$5&gt;=0),H$$3+ABS(H$5)/(I$5-H$5),"")</f>
        <v/>
      </c>
      <c r="J11" s="7" t="str">
        <f>=IF(AND(I$5&lt;0,J$5&gt;=0),I$$3+ABS(I$5)/(J$5-I$5),"")</f>
        <v/>
      </c>
      <c r="K11" s="7" t="str">
        <f>=IF(AND(J$5&lt;0,K$5&gt;=0),J$$3+ABS(J$5)/(K$5-J$5),"")</f>
        <v/>
      </c>
      <c r="L11" s="7" t="str">
        <f>=IF(AND(K$5&lt;0,L$5&gt;=0),K$$3+ABS(K$5)/(L$5-K$5),"")</f>
        <v/>
      </c>
    </row>
    <row r="12">
      <c r="A12" s="2" t="str">
        <v>Cruce del acumulado de los socios (interpolación)</v>
      </c>
      <c r="C12" s="7" t="str">
        <f>=IF(AND(B$7&lt;0,C$7&gt;=0),B$$3+ABS(B$7)/(C$7-B$7),"")</f>
        <v/>
      </c>
      <c r="D12" s="7" t="str">
        <f>=IF(AND(C$7&lt;0,D$7&gt;=0),C$$3+ABS(C$7)/(D$7-C$7),"")</f>
        <v/>
      </c>
      <c r="E12" s="7" t="str">
        <f>=IF(AND(D$7&lt;0,E$7&gt;=0),D$$3+ABS(D$7)/(E$7-D$7),"")</f>
        <v/>
      </c>
      <c r="F12" s="7" t="str">
        <f>=IF(AND(E$7&lt;0,F$7&gt;=0),E$$3+ABS(E$7)/(F$7-E$7),"")</f>
        <v/>
      </c>
      <c r="G12" s="7" t="str">
        <f>=IF(AND(F$7&lt;0,G$7&gt;=0),F$$3+ABS(F$7)/(G$7-F$7),"")</f>
        <v/>
      </c>
      <c r="H12" s="7" t="str">
        <f>=IF(AND(G$7&lt;0,H$7&gt;=0),G$$3+ABS(G$7)/(H$7-G$7),"")</f>
        <v/>
      </c>
      <c r="I12" s="7" t="str">
        <f>=IF(AND(H$7&lt;0,I$7&gt;=0),H$$3+ABS(H$7)/(I$7-H$7),"")</f>
        <v/>
      </c>
      <c r="J12" s="7" t="str">
        <f>=IF(AND(I$7&lt;0,J$7&gt;=0),I$$3+ABS(I$7)/(J$7-I$7),"")</f>
        <v/>
      </c>
      <c r="K12" s="7" t="str">
        <f>=IF(AND(J$7&lt;0,K$7&gt;=0),J$$3+ABS(J$7)/(K$7-J$7),"")</f>
        <v/>
      </c>
      <c r="L12" s="7" t="str">
        <f>=IF(AND(K$7&lt;0,L$7&gt;=0),K$$3+ABS(K$7)/(L$7-K$7),"")</f>
        <v/>
      </c>
    </row>
    <row r="14">
      <c r="A14" s="22" t="str">
        <v>PERÍODO DE RECUPERACIÓN — INVERSIÓN TOTAL (años)</v>
      </c>
      <c r="B14" s="29">
        <f>=IF(COUNT(C11:L$11)=0,"No se recupera en el horizonte",MIN(C11:L$11))</f>
        <v>3.463532275371478</v>
      </c>
    </row>
    <row r="15">
      <c r="A15" s="8" t="str">
        <v>Método: interpolación lineal (t−1) + |acumulado anterior| / (acumulado actual − acumulado anterior); el mínimo de los cruces detectados.</v>
      </c>
      <c r="B15" s="29">
        <f>=IF(COUNT(C12:L$12)=0,"No se recupera en el horizonte",MIN(C12:L$12))</f>
        <v>3.216105035737436</v>
      </c>
    </row>
    <row r="16">
      <c r="A16" s="8" t="str">
        <v>El capital de trabajo se recupera solo si el parámetro «pct_recuperacion_capital_trabajo» lo indica (regla explícita, conservadora por defecto).</v>
      </c>
      <c r="B16" s="6">
        <f>=SUMIF(Capacidad!$B$124:$B$124,B$$3,Capacidad!$D$124:$D$124)</f>
        <v>0</v>
      </c>
      <c r="C16" s="6">
        <f>=SUMIF(Capacidad!$B$124:$B$124,C$$3,Capacidad!$D$124:$D$124)</f>
        <v>0</v>
      </c>
      <c r="D16" s="6">
        <f>=SUMIF(Capacidad!$B$124:$B$124,D$$3,Capacidad!$D$124:$D$124)</f>
        <v>0</v>
      </c>
      <c r="E16" s="6">
        <f>=SUMIF(Capacidad!$B$124:$B$124,E$$3,Capacidad!$D$124:$D$124)</f>
        <v>0</v>
      </c>
      <c r="F16" s="6">
        <f>=SUMIF(Capacidad!$B$124:$B$124,F$$3,Capacidad!$D$124:$D$124)</f>
        <v>0</v>
      </c>
      <c r="G16" s="6">
        <f>=SUMIF(Capacidad!$B$124:$B$124,G$$3,Capacidad!$D$124:$D$124)</f>
        <v>0</v>
      </c>
      <c r="H16" s="6">
        <f>=SUMIF(Capacidad!$B$124:$B$124,H$$3,Capacidad!$D$124:$D$124)</f>
        <v>0</v>
      </c>
      <c r="I16" s="6">
        <f>=SUMIF(Capacidad!$B$124:$B$124,I$$3,Capacidad!$D$124:$D$124)</f>
        <v>150</v>
      </c>
      <c r="J16" s="6">
        <f>=SUMIF(Capacidad!$B$124:$B$124,J$$3,Capacidad!$D$124:$D$124)</f>
        <v>0</v>
      </c>
      <c r="K16" s="6">
        <f>=SUMIF(Capacidad!$B$124:$B$124,K$$3,Capacidad!$D$124:$D$124)</f>
        <v>0</v>
      </c>
      <c r="L16" s="6">
        <f>=SUMIF(Capacidad!$B$124:$B$124,L$$3,Capacidad!$D$124:$D$124)</f>
        <v>0</v>
      </c>
    </row>
    <row r="17">
      <c r="A17" s="2" t="str">
        <v>Recuperación del capital de trabajo</v>
      </c>
      <c r="B17" s="6">
        <f>=IF(B$$3=L$$3,Parametros!$C$19*Parametros!$C$25,0)</f>
        <v>0</v>
      </c>
      <c r="C17" s="6">
        <f>=IF(C$$3=L$$3,Parametros!$C$19*Parametros!$C$25,0)</f>
        <v>0</v>
      </c>
      <c r="D17" s="6">
        <f>=IF(D$$3=L$$3,Parametros!$C$19*Parametros!$C$25,0)</f>
        <v>0</v>
      </c>
      <c r="E17" s="6">
        <f>=IF(E$$3=L$$3,Parametros!$C$19*Parametros!$C$25,0)</f>
        <v>0</v>
      </c>
      <c r="F17" s="6">
        <f>=IF(F$$3=L$$3,Parametros!$C$19*Parametros!$C$25,0)</f>
        <v>0</v>
      </c>
      <c r="G17" s="6">
        <f>=IF(G$$3=L$$3,Parametros!$C$19*Parametros!$C$25,0)</f>
        <v>0</v>
      </c>
      <c r="H17" s="6">
        <f>=IF(H$$3=L$$3,Parametros!$C$19*Parametros!$C$25,0)</f>
        <v>0</v>
      </c>
      <c r="I17" s="6">
        <f>=IF(I$$3=L$$3,Parametros!$C$19*Parametros!$C$25,0)</f>
        <v>0</v>
      </c>
      <c r="J17" s="6">
        <f>=IF(J$$3=L$$3,Parametros!$C$19*Parametros!$C$25,0)</f>
        <v>0</v>
      </c>
      <c r="K17" s="6">
        <f>=IF(K$$3=L$$3,Parametros!$C$19*Parametros!$C$25,0)</f>
        <v>0</v>
      </c>
      <c r="L17" s="6">
        <f>=IF(L$$3=L$$3,Parametros!$C$19*Parametros!$C$25,0)</f>
        <v>0</v>
      </c>
    </row>
  </sheetData>
  <ignoredErrors>
    <ignoredError numberStoredAsText="1" sqref="A1:L17"/>
  </ignoredErrors>
</worksheet>
</file>

<file path=xl/worksheets/sheet14.xml><?xml version="1.0" encoding="utf-8"?>
<worksheet xmlns="http://schemas.openxmlformats.org/spreadsheetml/2006/main" xmlns:r="http://schemas.openxmlformats.org/officeDocument/2006/relationships">
  <dimension ref="A1:L16"/>
  <sheetViews>
    <sheetView workbookViewId="0"/>
  </sheetViews>
  <cols>
    <col min="1" max="1" width="34.83203125" customWidth="1"/>
    <col min="2" max="2" width="11.83203125" customWidth="1"/>
    <col min="3" max="3" width="11.83203125" customWidth="1"/>
    <col min="4" max="4" width="11.83203125" customWidth="1"/>
    <col min="5" max="5" width="11.83203125" customWidth="1"/>
    <col min="6" max="6" width="11.83203125" customWidth="1"/>
    <col min="7" max="7" width="11.83203125" customWidth="1"/>
    <col min="8" max="8" width="11.83203125" customWidth="1"/>
    <col min="9" max="9" width="11.83203125" customWidth="1"/>
    <col min="10" max="10" width="11.83203125" customWidth="1"/>
    <col min="11" max="11" width="11.83203125" customWidth="1"/>
    <col min="12" max="12" width="11.83203125" customWidth="1"/>
  </cols>
  <sheetData>
    <row r="1">
      <c r="A1" s="3" t="str">
        <v>Dividendos y beneficios distribuibles (misión §8) — miles de USD</v>
      </c>
    </row>
    <row r="2">
      <c r="A2" s="8" t="str">
        <v>base = max(0, UDI + saldo acumulable previo); reserva = pct_reserva × base; distribuible = base − reserva; propuestos = pct_reparto × distribuible; pagables = min(propuestos, caja acumulada FCFE). El saldo acumulable absorbe pérdidas y descuenta lo pagado.</v>
      </c>
    </row>
    <row r="3">
      <c r="A3" s="28" t="str">
        <v>Concepto</v>
      </c>
      <c r="B3" s="28">
        <v>0</v>
      </c>
      <c r="C3" s="28">
        <v>1</v>
      </c>
      <c r="D3" s="28">
        <v>2</v>
      </c>
      <c r="E3" s="28">
        <v>3</v>
      </c>
      <c r="F3" s="28">
        <v>4</v>
      </c>
      <c r="G3" s="28">
        <v>5</v>
      </c>
      <c r="H3" s="28">
        <v>6</v>
      </c>
      <c r="I3" s="28">
        <v>7</v>
      </c>
      <c r="J3" s="28">
        <v>8</v>
      </c>
      <c r="K3" s="28">
        <v>9</v>
      </c>
      <c r="L3" s="28">
        <v>10</v>
      </c>
    </row>
    <row r="4">
      <c r="A4" s="2" t="str">
        <v>Utilidad después de impuestos</v>
      </c>
      <c r="B4" s="6">
        <f>=Proyecciones!C$24</f>
        <v>-0.775235531628533</v>
      </c>
      <c r="C4" s="6">
        <f>=Proyecciones!D$24</f>
        <v>251.45682604306862</v>
      </c>
      <c r="D4" s="6">
        <f>=Proyecciones!E$24</f>
        <v>284.25456359522207</v>
      </c>
      <c r="E4" s="6">
        <f>=Proyecciones!F$24</f>
        <v>322.70641307260803</v>
      </c>
      <c r="F4" s="6">
        <f>=Proyecciones!G$24</f>
        <v>363.88523935079417</v>
      </c>
      <c r="G4" s="6">
        <f>=Proyecciones!H$24</f>
        <v>407.99832428467727</v>
      </c>
      <c r="H4" s="6">
        <f>=Proyecciones!I$24</f>
        <v>459.8184197382957</v>
      </c>
      <c r="I4" s="6">
        <f>=Proyecciones!J$24</f>
        <v>500.7348751060311</v>
      </c>
      <c r="J4" s="6">
        <f>=Proyecciones!K$24</f>
        <v>551.9348443483176</v>
      </c>
      <c r="K4" s="6">
        <f>=Proyecciones!L$24</f>
        <v>615.595827877639</v>
      </c>
      <c r="L4" s="6">
        <f>=Proyecciones!M$24</f>
        <v>674.9520549598948</v>
      </c>
    </row>
    <row r="5">
      <c r="A5" s="2" t="str">
        <v>Saldo acumulable previo</v>
      </c>
      <c r="B5" s="6">
        <f>=0</f>
        <v>0</v>
      </c>
      <c r="C5" s="6">
        <f>=B$14</f>
        <v>-0.775235531628533</v>
      </c>
      <c r="D5" s="6">
        <f>=C$14</f>
        <v>225.61343146029606</v>
      </c>
      <c r="E5" s="6">
        <f>=D$14</f>
        <v>458.8811955499663</v>
      </c>
      <c r="F5" s="6">
        <f>=E$14</f>
        <v>703.428847760317</v>
      </c>
      <c r="G5" s="6">
        <f>=F$14</f>
        <v>630.5548718699357</v>
      </c>
      <c r="H5" s="6">
        <f>=G$14</f>
        <v>467.34893826957585</v>
      </c>
      <c r="I5" s="6">
        <f>=H$14</f>
        <v>417.2253111035422</v>
      </c>
      <c r="J5" s="6">
        <f>=I$14</f>
        <v>413.082083794308</v>
      </c>
      <c r="K5" s="6">
        <f>=J$14</f>
        <v>434.2576176641815</v>
      </c>
      <c r="L5" s="6">
        <f>=K$14</f>
        <v>472.4340504938192</v>
      </c>
    </row>
    <row r="6">
      <c r="A6" s="2" t="str">
        <v>Base distribuible</v>
      </c>
      <c r="B6" s="6">
        <f>=0</f>
        <v>0</v>
      </c>
      <c r="C6" s="6">
        <f>=MAX(0,C$4+C$5)</f>
        <v>250.68159051144008</v>
      </c>
      <c r="D6" s="6">
        <f>=MAX(0,D$4+D$5)</f>
        <v>509.8679950555181</v>
      </c>
      <c r="E6" s="6">
        <f>=MAX(0,E$4+E$5)</f>
        <v>781.5876086225744</v>
      </c>
      <c r="F6" s="6">
        <f>=MAX(0,F$4+F$5)</f>
        <v>1067.3140871111111</v>
      </c>
      <c r="G6" s="6">
        <f>=MAX(0,G$4+G$5)</f>
        <v>1038.553196154613</v>
      </c>
      <c r="H6" s="6">
        <f>=MAX(0,H$4+H$5)</f>
        <v>927.1673580078716</v>
      </c>
      <c r="I6" s="6">
        <f>=MAX(0,I$4+I$5)</f>
        <v>917.9601862095733</v>
      </c>
      <c r="J6" s="6">
        <f>=MAX(0,J$4+J$5)</f>
        <v>965.0169281426256</v>
      </c>
      <c r="K6" s="6">
        <f>=MAX(0,K$4+K$5)</f>
        <v>1049.8534455418205</v>
      </c>
      <c r="L6" s="6">
        <f>=MAX(0,L$4+L$5)</f>
        <v>1147.386105453714</v>
      </c>
    </row>
    <row r="7">
      <c r="A7" s="2" t="str">
        <v>Reserva</v>
      </c>
      <c r="B7" s="6">
        <f>=0</f>
        <v>0</v>
      </c>
      <c r="C7" s="6">
        <f>=C$6*Parametros!$C$18</f>
        <v>25.068159051144008</v>
      </c>
      <c r="D7" s="6">
        <f>=D$6*Parametros!$C$18</f>
        <v>50.986799505551815</v>
      </c>
      <c r="E7" s="6">
        <f>=E$6*Parametros!$C$18</f>
        <v>78.15876086225745</v>
      </c>
      <c r="F7" s="6">
        <f>=F$6*Parametros!$C$18</f>
        <v>106.73140871111111</v>
      </c>
      <c r="G7" s="6">
        <f>=G$6*Parametros!$C$18</f>
        <v>103.85531961546131</v>
      </c>
      <c r="H7" s="6">
        <f>=H$6*Parametros!$C$18</f>
        <v>92.71673580078716</v>
      </c>
      <c r="I7" s="6">
        <f>=I$6*Parametros!$C$18</f>
        <v>91.79601862095734</v>
      </c>
      <c r="J7" s="6">
        <f>=J$6*Parametros!$C$18</f>
        <v>96.50169281426257</v>
      </c>
      <c r="K7" s="6">
        <f>=K$6*Parametros!$C$18</f>
        <v>104.98534455418206</v>
      </c>
      <c r="L7" s="6">
        <f>=L$6*Parametros!$C$18</f>
        <v>114.7386105453714</v>
      </c>
    </row>
    <row r="8">
      <c r="A8" s="2" t="str">
        <v>Distribuible</v>
      </c>
      <c r="B8" s="6">
        <f>=0</f>
        <v>0</v>
      </c>
      <c r="C8" s="6">
        <f>=C$6-C$7</f>
        <v>225.61343146029606</v>
      </c>
      <c r="D8" s="6">
        <f>=D$6-D$7</f>
        <v>458.8811955499663</v>
      </c>
      <c r="E8" s="6">
        <f>=E$6-E$7</f>
        <v>703.428847760317</v>
      </c>
      <c r="F8" s="6">
        <f>=F$6-F$7</f>
        <v>960.5826784</v>
      </c>
      <c r="G8" s="6">
        <f>=G$6-G$7</f>
        <v>934.6978765391517</v>
      </c>
      <c r="H8" s="6">
        <f>=H$6-H$7</f>
        <v>834.4506222070844</v>
      </c>
      <c r="I8" s="6">
        <f>=I$6-I$7</f>
        <v>826.164167588616</v>
      </c>
      <c r="J8" s="6">
        <f>=J$6-J$7</f>
        <v>868.515235328363</v>
      </c>
      <c r="K8" s="6">
        <f>=K$6-K$7</f>
        <v>944.8681009876384</v>
      </c>
      <c r="L8" s="6">
        <f>=L$6-L$7</f>
        <v>1032.6474949083427</v>
      </c>
    </row>
    <row r="9">
      <c r="A9" s="2" t="str">
        <v>Dividendos propuestos</v>
      </c>
      <c r="B9" s="6">
        <f>=0</f>
        <v>0</v>
      </c>
      <c r="C9" s="6">
        <f>=C$8*Parametros!$C$17</f>
        <v>112.80671573014803</v>
      </c>
      <c r="D9" s="6">
        <f>=D$8*Parametros!$C$17</f>
        <v>229.44059777498316</v>
      </c>
      <c r="E9" s="6">
        <f>=E$8*Parametros!$C$17</f>
        <v>351.7144238801585</v>
      </c>
      <c r="F9" s="6">
        <f>=F$8*Parametros!$C$17</f>
        <v>480.2913392</v>
      </c>
      <c r="G9" s="6">
        <f>=G$8*Parametros!$C$17</f>
        <v>467.34893826957585</v>
      </c>
      <c r="H9" s="6">
        <f>=H$8*Parametros!$C$17</f>
        <v>417.2253111035422</v>
      </c>
      <c r="I9" s="6">
        <f>=I$8*Parametros!$C$17</f>
        <v>413.082083794308</v>
      </c>
      <c r="J9" s="6">
        <f>=J$8*Parametros!$C$17</f>
        <v>434.2576176641815</v>
      </c>
      <c r="K9" s="6">
        <f>=K$8*Parametros!$C$17</f>
        <v>472.4340504938192</v>
      </c>
      <c r="L9" s="6">
        <f>=L$8*Parametros!$C$17</f>
        <v>516.3237474541713</v>
      </c>
    </row>
    <row r="10">
      <c r="A10" s="2" t="str">
        <v>Caja acumulada disponible (FCFE)</v>
      </c>
      <c r="B10" s="6">
        <f>=0</f>
        <v>0</v>
      </c>
      <c r="C10" s="6">
        <f>=FlujosCaja!C$7</f>
        <v>-812.19340948856</v>
      </c>
      <c r="D10" s="6">
        <f>=FlujosCaja!D$7</f>
        <v>-470.8138458933379</v>
      </c>
      <c r="E10" s="6">
        <f>=FlujosCaja!E$7</f>
        <v>-90.98243282072985</v>
      </c>
      <c r="F10" s="6">
        <f>=FlujosCaja!F$7</f>
        <v>330.02780653006425</v>
      </c>
      <c r="G10" s="6">
        <f>=FlujosCaja!G$7</f>
        <v>795.1511308147415</v>
      </c>
      <c r="H10" s="6">
        <f>=FlujosCaja!H$7</f>
        <v>1305.0945505530372</v>
      </c>
      <c r="I10" s="6">
        <f>=FlujosCaja!I$7</f>
        <v>1780.9544256590682</v>
      </c>
      <c r="J10" s="6">
        <f>=FlujosCaja!J$7</f>
        <v>2458.0142700073857</v>
      </c>
      <c r="K10" s="6">
        <f>=FlujosCaja!K$7</f>
        <v>3185.6100978850245</v>
      </c>
      <c r="L10" s="6">
        <f>=FlujosCaja!L$7</f>
        <v>3972.562152844919</v>
      </c>
    </row>
    <row r="11">
      <c r="A11" s="2" t="str">
        <v>Dividendos PAGABLES (limitados por caja)</v>
      </c>
      <c r="B11" s="6">
        <f>=0</f>
        <v>0</v>
      </c>
      <c r="C11" s="6">
        <f>=MIN(C$9,MAX(0,C$10))</f>
        <v>0</v>
      </c>
      <c r="D11" s="6">
        <f>=MIN(D$9,MAX(0,D$10))</f>
        <v>0</v>
      </c>
      <c r="E11" s="6">
        <f>=MIN(E$9,MAX(0,E$10))</f>
        <v>0</v>
      </c>
      <c r="F11" s="6">
        <f>=MIN(F$9,MAX(0,F$10))</f>
        <v>330.02780653006425</v>
      </c>
      <c r="G11" s="6">
        <f>=MIN(G$9,MAX(0,G$10))</f>
        <v>467.34893826957585</v>
      </c>
      <c r="H11" s="6">
        <f>=MIN(H$9,MAX(0,H$10))</f>
        <v>417.2253111035422</v>
      </c>
      <c r="I11" s="6">
        <f>=MIN(I$9,MAX(0,I$10))</f>
        <v>413.082083794308</v>
      </c>
      <c r="J11" s="6">
        <f>=MIN(J$9,MAX(0,J$10))</f>
        <v>434.2576176641815</v>
      </c>
      <c r="K11" s="6">
        <f>=MIN(K$9,MAX(0,K$10))</f>
        <v>472.4340504938192</v>
      </c>
      <c r="L11" s="6">
        <f>=MIN(L$9,MAX(0,L$10))</f>
        <v>516.3237474541713</v>
      </c>
    </row>
    <row r="12">
      <c r="A12" s="2" t="str">
        <v>Dividendos — socio nacional</v>
      </c>
      <c r="B12" s="6">
        <f>=B$11*Parametros!$C$16</f>
        <v>0</v>
      </c>
      <c r="C12" s="6">
        <f>=C$11*Parametros!$C$16</f>
        <v>0</v>
      </c>
      <c r="D12" s="6">
        <f>=D$11*Parametros!$C$16</f>
        <v>0</v>
      </c>
      <c r="E12" s="6">
        <f>=E$11*Parametros!$C$16</f>
        <v>0</v>
      </c>
      <c r="F12" s="6">
        <f>=F$11*Parametros!$C$16</f>
        <v>132.0111226120257</v>
      </c>
      <c r="G12" s="6">
        <f>=G$11*Parametros!$C$16</f>
        <v>186.93957530783035</v>
      </c>
      <c r="H12" s="6">
        <f>=H$11*Parametros!$C$16</f>
        <v>166.8901244414169</v>
      </c>
      <c r="I12" s="6">
        <f>=I$11*Parametros!$C$16</f>
        <v>165.2328335177232</v>
      </c>
      <c r="J12" s="6">
        <f>=J$11*Parametros!$C$16</f>
        <v>173.70304706567262</v>
      </c>
      <c r="K12" s="6">
        <f>=K$11*Parametros!$C$16</f>
        <v>188.97362019752768</v>
      </c>
      <c r="L12" s="6">
        <f>=L$11*Parametros!$C$16</f>
        <v>206.52949898166855</v>
      </c>
    </row>
    <row r="13">
      <c r="A13" s="2" t="str">
        <v>Dividendos — socio extranjero</v>
      </c>
      <c r="B13" s="6">
        <f>=B$11*(1-Parametros!$C$16)</f>
        <v>0</v>
      </c>
      <c r="C13" s="6">
        <f>=C$11*(1-Parametros!$C$16)</f>
        <v>0</v>
      </c>
      <c r="D13" s="6">
        <f>=D$11*(1-Parametros!$C$16)</f>
        <v>0</v>
      </c>
      <c r="E13" s="6">
        <f>=E$11*(1-Parametros!$C$16)</f>
        <v>0</v>
      </c>
      <c r="F13" s="6">
        <f>=F$11*(1-Parametros!$C$16)</f>
        <v>198.01668391803855</v>
      </c>
      <c r="G13" s="6">
        <f>=G$11*(1-Parametros!$C$16)</f>
        <v>280.4093629617455</v>
      </c>
      <c r="H13" s="6">
        <f>=H$11*(1-Parametros!$C$16)</f>
        <v>250.3351866621253</v>
      </c>
      <c r="I13" s="6">
        <f>=I$11*(1-Parametros!$C$16)</f>
        <v>247.8492502765848</v>
      </c>
      <c r="J13" s="6">
        <f>=J$11*(1-Parametros!$C$16)</f>
        <v>260.5545705985089</v>
      </c>
      <c r="K13" s="6">
        <f>=K$11*(1-Parametros!$C$16)</f>
        <v>283.4604302962915</v>
      </c>
      <c r="L13" s="6">
        <f>=L$11*(1-Parametros!$C$16)</f>
        <v>309.7942484725028</v>
      </c>
    </row>
    <row r="14">
      <c r="A14" s="2" t="str">
        <v>Saldo acumulable del período</v>
      </c>
      <c r="B14" s="6">
        <f>=B$4</f>
        <v>-0.775235531628533</v>
      </c>
      <c r="C14" s="6">
        <f>=B$14+C$4-C$7-C$11</f>
        <v>225.61343146029606</v>
      </c>
      <c r="D14" s="6">
        <f>=C$14+D$4-D$7-D$11</f>
        <v>458.8811955499663</v>
      </c>
      <c r="E14" s="6">
        <f>=D$14+E$4-E$7-E$11</f>
        <v>703.428847760317</v>
      </c>
      <c r="F14" s="6">
        <f>=E$14+F$4-F$7-F$11</f>
        <v>630.5548718699357</v>
      </c>
      <c r="G14" s="6">
        <f>=F$14+G$4-G$7-G$11</f>
        <v>467.34893826957585</v>
      </c>
      <c r="H14" s="6">
        <f>=G$14+H$4-H$7-H$11</f>
        <v>417.2253111035422</v>
      </c>
      <c r="I14" s="6">
        <f>=H$14+I$4-I$7-I$11</f>
        <v>413.082083794308</v>
      </c>
      <c r="J14" s="6">
        <f>=I$14+J$4-J$7-J$11</f>
        <v>434.2576176641815</v>
      </c>
      <c r="K14" s="6">
        <f>=J$14+K$4-K$7-K$11</f>
        <v>472.4340504938192</v>
      </c>
      <c r="L14" s="6">
        <f>=K$14+L$4-L$7-L$11</f>
        <v>516.3237474541713</v>
      </c>
    </row>
    <row r="16">
      <c r="A16" s="8" t="str">
        <v>Ningún dividendo supera la caja modelada; los propuestos que queden por encima quedan restringidos y el diagnóstico lo advierte. La PARTICIPACIÓN (composición del capital) y el REPARTO son conceptos distintos.</v>
      </c>
    </row>
  </sheetData>
  <ignoredErrors>
    <ignoredError numberStoredAsText="1" sqref="A1:L16"/>
  </ignoredErrors>
</worksheet>
</file>

<file path=xl/worksheets/sheet15.xml><?xml version="1.0" encoding="utf-8"?>
<worksheet xmlns="http://schemas.openxmlformats.org/spreadsheetml/2006/main" xmlns:r="http://schemas.openxmlformats.org/officeDocument/2006/relationships">
  <dimension ref="A1:M13"/>
  <sheetViews>
    <sheetView workbookViewId="0"/>
  </sheetViews>
  <cols>
    <col min="1" max="1" width="40.83203125" customWidth="1"/>
    <col min="2" max="2" width="11.83203125" customWidth="1"/>
    <col min="3" max="3" width="11.83203125" customWidth="1"/>
    <col min="4" max="4" width="11.83203125" customWidth="1"/>
    <col min="5" max="5" width="11.83203125" customWidth="1"/>
    <col min="6" max="6" width="11.83203125" customWidth="1"/>
    <col min="7" max="7" width="11.83203125" customWidth="1"/>
    <col min="8" max="8" width="11.83203125" customWidth="1"/>
    <col min="9" max="9" width="11.83203125" customWidth="1"/>
    <col min="10" max="10" width="11.83203125" customWidth="1"/>
    <col min="11" max="11" width="11.83203125" customWidth="1"/>
    <col min="12" max="12" width="11.83203125" customWidth="1"/>
    <col min="13" max="13" width="12.83203125" customWidth="1"/>
  </cols>
  <sheetData>
    <row r="1">
      <c r="A1" s="3" t="str">
        <v>Beneficios directos al país (4.11) — miles de USD por año</v>
      </c>
    </row>
    <row r="2">
      <c r="A2" s="8" t="str">
        <v>Metadatos por partida: el impuesto, dividendos y pagos por fuerza de trabajo provienen de reglas del motor; los conceptos de explotación se activan desde el año 1; los pagos por fuerza de trabajo INCLUYEN el montaje del año 0. El total del período completo concilia con el resumen y las conclusiones.</v>
      </c>
    </row>
    <row r="3">
      <c r="A3" s="28" t="str">
        <v>Concepto</v>
      </c>
      <c r="B3" s="28">
        <v>0</v>
      </c>
      <c r="C3" s="28">
        <v>1</v>
      </c>
      <c r="D3" s="28">
        <v>2</v>
      </c>
      <c r="E3" s="28">
        <v>3</v>
      </c>
      <c r="F3" s="28">
        <v>4</v>
      </c>
      <c r="G3" s="28">
        <v>5</v>
      </c>
      <c r="H3" s="28">
        <v>6</v>
      </c>
      <c r="I3" s="28">
        <v>7</v>
      </c>
      <c r="J3" s="28">
        <v>8</v>
      </c>
      <c r="K3" s="28">
        <v>9</v>
      </c>
      <c r="L3" s="28">
        <v>10</v>
      </c>
      <c r="M3" s="28" t="str">
        <v>Total</v>
      </c>
    </row>
    <row r="4">
      <c r="A4" s="2" t="str">
        <v>Impuesto sobre utilidades</v>
      </c>
      <c r="B4" s="6">
        <f>=Proyecciones!C$23</f>
        <v>0</v>
      </c>
      <c r="C4" s="6">
        <f>=Proyecciones!D$23</f>
        <v>135.39982940780615</v>
      </c>
      <c r="D4" s="6">
        <f>=Proyecciones!E$23</f>
        <v>153.0601496281965</v>
      </c>
      <c r="E4" s="6">
        <f>=Proyecciones!F$23</f>
        <v>173.76499165448124</v>
      </c>
      <c r="F4" s="6">
        <f>=Proyecciones!G$23</f>
        <v>195.93820580427376</v>
      </c>
      <c r="G4" s="6">
        <f>=Proyecciones!H$23</f>
        <v>219.69140538405696</v>
      </c>
      <c r="H4" s="6">
        <f>=Proyecciones!I$23</f>
        <v>247.59453370523613</v>
      </c>
      <c r="I4" s="6">
        <f>=Proyecciones!J$23</f>
        <v>269.62647121093977</v>
      </c>
      <c r="J4" s="6">
        <f>=Proyecciones!K$23</f>
        <v>297.19568541832484</v>
      </c>
      <c r="K4" s="6">
        <f>=Proyecciones!L$23</f>
        <v>331.4746765494979</v>
      </c>
      <c r="L4" s="6">
        <f>=Proyecciones!M$23</f>
        <v>363.43572190148177</v>
      </c>
      <c r="M4" s="21">
        <f>=SUM(B4:M4)</f>
        <v>2387.181670664295</v>
      </c>
    </row>
    <row r="5">
      <c r="A5" s="2" t="str">
        <v>Otros impuestos, tasas y contribuciones</v>
      </c>
      <c r="B5" s="6">
        <f>=Proyecciones!C$34</f>
        <v>0</v>
      </c>
      <c r="C5" s="6">
        <f>=Proyecciones!D$34</f>
        <v>5</v>
      </c>
      <c r="D5" s="6">
        <f>=Proyecciones!E$34</f>
        <v>5</v>
      </c>
      <c r="E5" s="6">
        <f>=Proyecciones!F$34</f>
        <v>5</v>
      </c>
      <c r="F5" s="6">
        <f>=Proyecciones!G$34</f>
        <v>5</v>
      </c>
      <c r="G5" s="6">
        <f>=Proyecciones!H$34</f>
        <v>5</v>
      </c>
      <c r="H5" s="6">
        <f>=Proyecciones!I$34</f>
        <v>5</v>
      </c>
      <c r="I5" s="6">
        <f>=Proyecciones!J$34</f>
        <v>5</v>
      </c>
      <c r="J5" s="6">
        <f>=Proyecciones!K$34</f>
        <v>5</v>
      </c>
      <c r="K5" s="6">
        <f>=Proyecciones!L$34</f>
        <v>5</v>
      </c>
      <c r="L5" s="6">
        <f>=Proyecciones!M$34</f>
        <v>5</v>
      </c>
      <c r="M5" s="21">
        <f>=SUM(B5:M5)</f>
        <v>50</v>
      </c>
    </row>
    <row r="6">
      <c r="A6" s="2" t="str">
        <v>Dividendos de la parte cubana</v>
      </c>
      <c r="B6" s="6">
        <f>=Proyecciones!C$32</f>
        <v>0</v>
      </c>
      <c r="C6" s="6">
        <f>=Proyecciones!D$32</f>
        <v>0</v>
      </c>
      <c r="D6" s="6">
        <f>=Proyecciones!E$32</f>
        <v>0</v>
      </c>
      <c r="E6" s="6">
        <f>=Proyecciones!F$32</f>
        <v>0</v>
      </c>
      <c r="F6" s="6">
        <f>=Proyecciones!G$32</f>
        <v>132.0111226120257</v>
      </c>
      <c r="G6" s="6">
        <f>=Proyecciones!H$32</f>
        <v>186.93957530783035</v>
      </c>
      <c r="H6" s="6">
        <f>=Proyecciones!I$32</f>
        <v>166.8901244414169</v>
      </c>
      <c r="I6" s="6">
        <f>=Proyecciones!J$32</f>
        <v>165.2328335177232</v>
      </c>
      <c r="J6" s="6">
        <f>=Proyecciones!K$32</f>
        <v>173.70304706567262</v>
      </c>
      <c r="K6" s="6">
        <f>=Proyecciones!L$32</f>
        <v>188.97362019752768</v>
      </c>
      <c r="L6" s="6">
        <f>=Proyecciones!M$32</f>
        <v>206.52949898166855</v>
      </c>
      <c r="M6" s="21">
        <f>=SUM(B6:M6)</f>
        <v>1220.279822123865</v>
      </c>
    </row>
    <row r="7">
      <c r="A7" s="2" t="str">
        <v>Aranceles</v>
      </c>
      <c r="B7" s="6">
        <f>=Proyecciones!C$35</f>
        <v>0</v>
      </c>
      <c r="C7" s="6">
        <f>=Proyecciones!D$35</f>
        <v>8</v>
      </c>
      <c r="D7" s="6">
        <f>=Proyecciones!E$35</f>
        <v>8</v>
      </c>
      <c r="E7" s="6">
        <f>=Proyecciones!F$35</f>
        <v>8</v>
      </c>
      <c r="F7" s="6">
        <f>=Proyecciones!G$35</f>
        <v>8</v>
      </c>
      <c r="G7" s="6">
        <f>=Proyecciones!H$35</f>
        <v>8</v>
      </c>
      <c r="H7" s="6">
        <f>=Proyecciones!I$35</f>
        <v>8</v>
      </c>
      <c r="I7" s="6">
        <f>=Proyecciones!J$35</f>
        <v>8</v>
      </c>
      <c r="J7" s="6">
        <f>=Proyecciones!K$35</f>
        <v>8</v>
      </c>
      <c r="K7" s="6">
        <f>=Proyecciones!L$35</f>
        <v>8</v>
      </c>
      <c r="L7" s="6">
        <f>=Proyecciones!M$35</f>
        <v>8</v>
      </c>
      <c r="M7" s="21">
        <f>=SUM(B7:M7)</f>
        <v>80</v>
      </c>
    </row>
    <row r="8">
      <c r="A8" s="2" t="str">
        <v>Pagos por la fuerza de trabajo</v>
      </c>
      <c r="B8" s="6">
        <f>=Proyecciones!C$33</f>
        <v>0.775235531628533</v>
      </c>
      <c r="C8" s="6">
        <f>=Proyecciones!D$33</f>
        <v>20.60834454912517</v>
      </c>
      <c r="D8" s="6">
        <f>=Proyecciones!E$33</f>
        <v>21.63876177658143</v>
      </c>
      <c r="E8" s="6">
        <f>=Proyecciones!F$33</f>
        <v>22.7206998654105</v>
      </c>
      <c r="F8" s="6">
        <f>=Proyecciones!G$33</f>
        <v>23.85673485868103</v>
      </c>
      <c r="G8" s="6">
        <f>=Proyecciones!H$33</f>
        <v>25.049571601615074</v>
      </c>
      <c r="H8" s="6">
        <f>=Proyecciones!I$33</f>
        <v>26.302050181695833</v>
      </c>
      <c r="I8" s="6">
        <f>=Proyecciones!J$33</f>
        <v>27.617152690780614</v>
      </c>
      <c r="J8" s="6">
        <f>=Proyecciones!K$33</f>
        <v>28.998010325319655</v>
      </c>
      <c r="K8" s="6">
        <f>=Proyecciones!L$33</f>
        <v>30.447910841585635</v>
      </c>
      <c r="L8" s="6">
        <f>=Proyecciones!M$33</f>
        <v>31.97030638366492</v>
      </c>
      <c r="M8" s="21">
        <f>=SUM(B8:M8)</f>
        <v>259.98477860608835</v>
      </c>
    </row>
    <row r="9">
      <c r="A9" s="2" t="str">
        <v>Canon</v>
      </c>
      <c r="B9" s="6">
        <f>=Proyecciones!C$12</f>
        <v>0</v>
      </c>
      <c r="C9" s="6">
        <f>=Proyecciones!D$12</f>
        <v>30</v>
      </c>
      <c r="D9" s="6">
        <f>=Proyecciones!E$12</f>
        <v>30</v>
      </c>
      <c r="E9" s="6">
        <f>=Proyecciones!F$12</f>
        <v>30</v>
      </c>
      <c r="F9" s="6">
        <f>=Proyecciones!G$12</f>
        <v>30</v>
      </c>
      <c r="G9" s="6">
        <f>=Proyecciones!H$12</f>
        <v>30</v>
      </c>
      <c r="H9" s="6">
        <f>=Proyecciones!I$12</f>
        <v>30</v>
      </c>
      <c r="I9" s="6">
        <f>=Proyecciones!J$12</f>
        <v>30</v>
      </c>
      <c r="J9" s="6">
        <f>=Proyecciones!K$12</f>
        <v>30</v>
      </c>
      <c r="K9" s="6">
        <f>=Proyecciones!L$12</f>
        <v>30</v>
      </c>
      <c r="L9" s="6">
        <f>=Proyecciones!M$12</f>
        <v>30</v>
      </c>
      <c r="M9" s="21">
        <f>=SUM(B9:M9)</f>
        <v>300</v>
      </c>
    </row>
    <row r="10">
      <c r="A10" s="2" t="str">
        <v>Royalties</v>
      </c>
      <c r="B10" s="6">
        <f>=Proyecciones!C$36</f>
        <v>0</v>
      </c>
      <c r="C10" s="6">
        <f>=Proyecciones!D$36</f>
        <v>0</v>
      </c>
      <c r="D10" s="6">
        <f>=Proyecciones!E$36</f>
        <v>0</v>
      </c>
      <c r="E10" s="6">
        <f>=Proyecciones!F$36</f>
        <v>0</v>
      </c>
      <c r="F10" s="6">
        <f>=Proyecciones!G$36</f>
        <v>0</v>
      </c>
      <c r="G10" s="6">
        <f>=Proyecciones!H$36</f>
        <v>0</v>
      </c>
      <c r="H10" s="6">
        <f>=Proyecciones!I$36</f>
        <v>0</v>
      </c>
      <c r="I10" s="6">
        <f>=Proyecciones!J$36</f>
        <v>0</v>
      </c>
      <c r="J10" s="6">
        <f>=Proyecciones!K$36</f>
        <v>0</v>
      </c>
      <c r="K10" s="6">
        <f>=Proyecciones!L$36</f>
        <v>0</v>
      </c>
      <c r="L10" s="6">
        <f>=Proyecciones!M$36</f>
        <v>0</v>
      </c>
      <c r="M10" s="21">
        <f>=SUM(B10:M10)</f>
        <v>0</v>
      </c>
    </row>
    <row r="11">
      <c r="A11" s="2" t="str">
        <v>Otros ingresos</v>
      </c>
      <c r="B11" s="6">
        <f>=Proyecciones!C$37</f>
        <v>0</v>
      </c>
      <c r="C11" s="6">
        <f>=Proyecciones!D$37</f>
        <v>0</v>
      </c>
      <c r="D11" s="6">
        <f>=Proyecciones!E$37</f>
        <v>0</v>
      </c>
      <c r="E11" s="6">
        <f>=Proyecciones!F$37</f>
        <v>0</v>
      </c>
      <c r="F11" s="6">
        <f>=Proyecciones!G$37</f>
        <v>0</v>
      </c>
      <c r="G11" s="6">
        <f>=Proyecciones!H$37</f>
        <v>0</v>
      </c>
      <c r="H11" s="6">
        <f>=Proyecciones!I$37</f>
        <v>0</v>
      </c>
      <c r="I11" s="6">
        <f>=Proyecciones!J$37</f>
        <v>0</v>
      </c>
      <c r="J11" s="6">
        <f>=Proyecciones!K$37</f>
        <v>0</v>
      </c>
      <c r="K11" s="6">
        <f>=Proyecciones!L$37</f>
        <v>0</v>
      </c>
      <c r="L11" s="6">
        <f>=Proyecciones!M$37</f>
        <v>0</v>
      </c>
      <c r="M11" s="21">
        <f>=SUM(B11:M11)</f>
        <v>0</v>
      </c>
    </row>
    <row r="12">
      <c r="A12" s="22" t="str">
        <v>TOTAL BENEFICIOS DIRECTOS AL PAÍS (período completo)</v>
      </c>
      <c r="B12" s="21">
        <f>=SUM(B4:B11)</f>
        <v>0.775235531628533</v>
      </c>
      <c r="C12" s="21">
        <f>=SUM(C4:C11)</f>
        <v>199.00817395693133</v>
      </c>
      <c r="D12" s="21">
        <f>=SUM(D4:D11)</f>
        <v>217.69891140477793</v>
      </c>
      <c r="E12" s="21">
        <f>=SUM(E4:E11)</f>
        <v>239.48569151989173</v>
      </c>
      <c r="F12" s="21">
        <f>=SUM(F4:F11)</f>
        <v>394.8060632749805</v>
      </c>
      <c r="G12" s="21">
        <f>=SUM(G4:G11)</f>
        <v>474.6805522935024</v>
      </c>
      <c r="H12" s="21">
        <f>=SUM(H4:H11)</f>
        <v>483.7867083283489</v>
      </c>
      <c r="I12" s="21">
        <f>=SUM(I4:I11)</f>
        <v>505.4764574194436</v>
      </c>
      <c r="J12" s="21">
        <f>=SUM(J4:J11)</f>
        <v>542.8967428093172</v>
      </c>
      <c r="K12" s="21">
        <f>=SUM(K4:K11)</f>
        <v>593.8962075886112</v>
      </c>
      <c r="L12" s="21">
        <f>=SUM(L4:L11)</f>
        <v>644.9355272668153</v>
      </c>
      <c r="M12" s="21">
        <f>=SUM(B12:M12)</f>
        <v>4297.4462713942485</v>
      </c>
    </row>
    <row r="13">
      <c r="A13" s="8" t="str">
        <v>Subtotal de la explotación (años 1–10), etiquetado aparte:</v>
      </c>
      <c r="B13" s="6">
        <f>=SUM(B12:M12)-B12</f>
        <v>4296.67103586262</v>
      </c>
    </row>
  </sheetData>
  <ignoredErrors>
    <ignoredError numberStoredAsText="1" sqref="A1:M13"/>
  </ignoredErrors>
</worksheet>
</file>

<file path=xl/worksheets/sheet16.xml><?xml version="1.0" encoding="utf-8"?>
<worksheet xmlns="http://schemas.openxmlformats.org/spreadsheetml/2006/main" xmlns:r="http://schemas.openxmlformats.org/officeDocument/2006/relationships">
  <dimension ref="A1:C12"/>
  <sheetViews>
    <sheetView workbookViewId="0"/>
  </sheetViews>
  <cols>
    <col min="1" max="1" width="40.83203125" customWidth="1"/>
    <col min="2" max="2" width="12.83203125" customWidth="1"/>
    <col min="3" max="3" width="24.83203125" customWidth="1"/>
  </cols>
  <sheetData>
    <row r="1">
      <c r="A1" s="3" t="str">
        <v>Fuerza de trabajo (4.9) — resumen</v>
      </c>
    </row>
    <row r="3">
      <c r="A3" s="28" t="str">
        <v>Categoría</v>
      </c>
      <c r="B3" s="28" t="str">
        <v>Cantidad</v>
      </c>
      <c r="C3" s="28" t="str">
        <v>Salario promedio anual (CUP)</v>
      </c>
    </row>
    <row r="4">
      <c r="A4" s="2" t="str">
        <v>cubano_directivo</v>
      </c>
      <c r="B4" s="13">
        <f>=SUMIFS(Personal!$D$4:$D$54,Personal!$C$4:$C$54,"cubano_directivo",Personal!$A$4:$A$54,"&gt;0")</f>
        <v>3</v>
      </c>
      <c r="C4" s="14">
        <v>312000</v>
      </c>
    </row>
    <row r="5">
      <c r="A5" s="2" t="str">
        <v>cubano_otro</v>
      </c>
      <c r="B5" s="13">
        <f>=SUMIFS(Personal!$D$4:$D$54,Personal!$C$4:$C$54,"cubano_otro",Personal!$A$4:$A$54,"&gt;0")</f>
        <v>23</v>
      </c>
      <c r="C5" s="14">
        <v>207652.1739130435</v>
      </c>
    </row>
    <row r="6">
      <c r="A6" s="2" t="str">
        <v>extranjero_directivo</v>
      </c>
      <c r="B6" s="13">
        <f>=SUMIFS(Personal!$D$4:$D$54,Personal!$C$4:$C$54,"extranjero_directivo",Personal!$A$4:$A$54,"&gt;0")</f>
        <v>1</v>
      </c>
      <c r="C6" s="14">
        <v>9600000</v>
      </c>
    </row>
    <row r="7">
      <c r="A7" s="2" t="str">
        <v>extranjero_otro</v>
      </c>
      <c r="B7" s="13">
        <f>=SUMIFS(Personal!$D$4:$D$54,Personal!$C$4:$C$54,"extranjero_otro",Personal!$A$4:$A$54,"&gt;0")</f>
        <v>0</v>
      </c>
      <c r="C7" s="14">
        <v>0</v>
      </c>
    </row>
    <row r="8">
      <c r="A8" s="22" t="str">
        <v>Total (operación)</v>
      </c>
      <c r="B8" s="30">
        <f>=SUM(B4:B7)</f>
        <v>27</v>
      </c>
    </row>
    <row r="9">
      <c r="A9" s="2" t="str">
        <v>Trabajadores en etapa de montaje (año 0)</v>
      </c>
      <c r="B9" s="13">
        <f>=SUMIFS(Personal!$D$4:$D$54,Personal!$A$4:$A$54,0)</f>
        <v>6</v>
      </c>
    </row>
    <row r="10">
      <c r="A10" s="2" t="str">
        <v>Salario promedio anual ponderado (CUP)</v>
      </c>
      <c r="B10" s="14">
        <v>567111.1111111111</v>
      </c>
    </row>
    <row r="12">
      <c r="A12" s="8" t="str">
        <v>Entidad autorizada a contratar: Entidad empleadora autorizada (supuesto ilustrativo: la parte nacional contratante según la legislación vigente).</v>
      </c>
    </row>
  </sheetData>
  <ignoredErrors>
    <ignoredError numberStoredAsText="1" sqref="A1:C12"/>
  </ignoredErrors>
</worksheet>
</file>

<file path=xl/worksheets/sheet17.xml><?xml version="1.0" encoding="utf-8"?>
<worksheet xmlns="http://schemas.openxmlformats.org/spreadsheetml/2006/main" xmlns:r="http://schemas.openxmlformats.org/officeDocument/2006/relationships">
  <dimension ref="A1:D10"/>
  <sheetViews>
    <sheetView workbookViewId="0"/>
  </sheetViews>
  <cols>
    <col min="1" max="1" width="42.83203125" customWidth="1"/>
    <col min="2" max="2" width="10.83203125" customWidth="1"/>
    <col min="3" max="3" width="10.83203125" customWidth="1"/>
    <col min="4" max="4" width="40.83203125" customWidth="1"/>
  </cols>
  <sheetData>
    <row r="1">
      <c r="A1" s="3" t="str">
        <v>Cronograma inversionista (4.10)</v>
      </c>
    </row>
    <row r="3">
      <c r="A3" s="28" t="str">
        <v>Etapa</v>
      </c>
      <c r="B3" s="28" t="str">
        <v>Inicio</v>
      </c>
      <c r="C3" s="28" t="str">
        <v>Fin</v>
      </c>
      <c r="D3" s="28" t="str">
        <v>Observación</v>
      </c>
    </row>
    <row r="4">
      <c r="A4" s="16" t="str">
        <v>Preinversión y estudios</v>
      </c>
      <c r="B4" s="16" t="str">
        <v>2026-07</v>
      </c>
      <c r="C4" s="16" t="str">
        <v>2026-12</v>
      </c>
      <c r="D4" s="16" t="str">
        <v>Ficticio</v>
      </c>
    </row>
    <row r="5">
      <c r="A5" s="16" t="str">
        <v>Licencias y autorizaciones</v>
      </c>
      <c r="B5" s="16" t="str">
        <v>2026-10</v>
      </c>
      <c r="C5" s="16" t="str">
        <v>2027-03</v>
      </c>
      <c r="D5" s="16" t="str">
        <v>Ficticio. La operación no puede comenzar sin las licencias resueltas.</v>
      </c>
    </row>
    <row r="6">
      <c r="A6" s="16" t="str">
        <v>Ejecución (adecuación y montaje)</v>
      </c>
      <c r="B6" s="16" t="str">
        <v>2027-01</v>
      </c>
      <c r="C6" s="16" t="str">
        <v>2027-09</v>
      </c>
      <c r="D6" s="16" t="str">
        <v>Ficticio</v>
      </c>
    </row>
    <row r="7">
      <c r="A7" s="16" t="str">
        <v>Instalación de equipos y pruebas</v>
      </c>
      <c r="B7" s="16" t="str">
        <v>2027-08</v>
      </c>
      <c r="C7" s="16" t="str">
        <v>2027-10</v>
      </c>
      <c r="D7" s="16" t="str">
        <v>Ficticio</v>
      </c>
    </row>
    <row r="8">
      <c r="A8" s="16" t="str">
        <v>Puesta en marcha y apertura</v>
      </c>
      <c r="B8" s="16" t="str">
        <v>2027-10</v>
      </c>
      <c r="C8" s="16" t="str">
        <v>2027-11</v>
      </c>
      <c r="D8" s="16" t="str">
        <v>Ficticio</v>
      </c>
    </row>
    <row r="9">
      <c r="A9" s="16" t="str">
        <v>Operación comercial</v>
      </c>
      <c r="B9" s="16" t="str">
        <v>2027-11</v>
      </c>
      <c r="C9" s="16" t="str">
        <v>2037-10</v>
      </c>
      <c r="D9" s="16" t="str">
        <v>Horizonte de 10 años (ficticio)</v>
      </c>
    </row>
    <row r="10">
      <c r="A10" s="16" t="str">
        <v>Ampliación de capacidad (+2 gabinetes, escenario B)</v>
      </c>
      <c r="B10" s="16" t="str">
        <v>2033-06</v>
      </c>
      <c r="C10" s="16" t="str">
        <v>2033-10</v>
      </c>
      <c r="D10" s="16" t="str">
        <v>Ficticio. Año 7 de la proyección, cuando la utilización de la base alcanza su máximo; su retraso desplaza la capacidad y los ingresos asociados.</v>
      </c>
    </row>
  </sheetData>
  <ignoredErrors>
    <ignoredError numberStoredAsText="1" sqref="A1:D10"/>
  </ignoredErrors>
</worksheet>
</file>

<file path=xl/worksheets/sheet18.xml><?xml version="1.0" encoding="utf-8"?>
<worksheet xmlns="http://schemas.openxmlformats.org/spreadsheetml/2006/main" xmlns:r="http://schemas.openxmlformats.org/officeDocument/2006/relationships">
  <dimension ref="A1:E20"/>
  <sheetViews>
    <sheetView workbookViewId="0"/>
  </sheetViews>
  <cols>
    <col min="1" max="1" width="34.83203125" customWidth="1"/>
    <col min="2" max="2" width="12.83203125" customWidth="1"/>
    <col min="3" max="3" width="12.83203125" customWidth="1"/>
    <col min="4" max="4" width="14.83203125" customWidth="1"/>
    <col min="5" max="5" width="40.83203125" customWidth="1"/>
  </cols>
  <sheetData>
    <row r="1">
      <c r="A1" s="3" t="str">
        <v>Consumos técnicos (4.6)</v>
      </c>
    </row>
    <row r="3">
      <c r="A3" s="28" t="str">
        <v>Concepto</v>
      </c>
      <c r="B3" s="28" t="str">
        <v>Unidad</v>
      </c>
      <c r="C3" s="28" t="str">
        <v>Cantidad</v>
      </c>
      <c r="D3" s="28" t="str">
        <v>Período</v>
      </c>
      <c r="E3" s="28" t="str">
        <v>Observación</v>
      </c>
    </row>
    <row r="4">
      <c r="A4" s="16" t="str">
        <v>Agua potable</v>
      </c>
      <c r="B4" s="16" t="str">
        <v>m³/día</v>
      </c>
      <c r="C4" s="16">
        <v>8</v>
      </c>
      <c r="D4" s="16" t="str">
        <v>Operación</v>
      </c>
      <c r="E4" s="16" t="str">
        <v>Supuesto ficticio</v>
      </c>
    </row>
    <row r="5">
      <c r="A5" s="16" t="str">
        <v>Electricidad</v>
      </c>
      <c r="B5" s="16" t="str">
        <v>kWh/día</v>
      </c>
      <c r="C5" s="16">
        <v>320</v>
      </c>
      <c r="D5" s="16" t="str">
        <v>Operación</v>
      </c>
      <c r="E5" s="16" t="str">
        <v>Supuesto ficticio</v>
      </c>
    </row>
    <row r="6">
      <c r="A6" s="16" t="str">
        <v>Portador energético (respaldo)</v>
      </c>
      <c r="B6" s="16" t="str">
        <v>L/mes</v>
      </c>
      <c r="C6" s="16">
        <v>120</v>
      </c>
      <c r="D6" s="16" t="str">
        <v>Operación</v>
      </c>
      <c r="E6" s="16" t="str">
        <v>Supuesto ficticio</v>
      </c>
    </row>
    <row r="7">
      <c r="A7" s="16" t="str">
        <v>Residuos sólidos asimilables</v>
      </c>
      <c r="B7" s="16" t="str">
        <v>kg/día</v>
      </c>
      <c r="C7" s="16">
        <v>45</v>
      </c>
      <c r="D7" s="16" t="str">
        <v>Operación</v>
      </c>
      <c r="E7" s="16" t="str">
        <v>Supuesto ficticio</v>
      </c>
    </row>
    <row r="8">
      <c r="A8" s="16" t="str">
        <v>Residuos biomédicos (DYMED)</v>
      </c>
      <c r="B8" s="16" t="str">
        <v>kg/mes</v>
      </c>
      <c r="C8" s="16">
        <v>60</v>
      </c>
      <c r="D8" s="16" t="str">
        <v>Operación</v>
      </c>
      <c r="E8" s="16" t="str">
        <v>Supuesto ficticio</v>
      </c>
    </row>
    <row r="10">
      <c r="A10" s="3" t="str">
        <v>Notas técnicas</v>
      </c>
    </row>
    <row r="11">
      <c r="A11" s="2" t="str">
        <v>Caracterización de bienes y servicios</v>
      </c>
      <c r="B11" s="2" t="str">
        <v>Clínica estomatológica integral con 5 gabinetes de atención (ampliables a 7 según el escenario activo), 1 laboratorio de prótesis, 1 sala de imagenología dental (2 equipos), esterilización central con autoclaves de vacío y compresores dedicados, recepción y administración. Modelo operativo con cita programada y horario extendido (lunes a sábado). Instalación en local existente sujeto a adecuación y montaje (supuesto ilustrativo).</v>
      </c>
    </row>
    <row r="12">
      <c r="A12" s="2" t="str">
        <v>Capacidad instalada</v>
      </c>
      <c r="B12" s="2" t="str">
        <v>La capacidad se deriva de los recursos operativos de la tabla 4.6 (no de una cifra aislada): 5 gabinetes × 8 h/día × 288 días/año, con 5 % de mantenimiento; 2 equipos de imagenología a 6 h/día; laboratorio de prótesis a 6 h/día; y 12 profesionales a 6 h/día. Cada servicio declara su duración media y los recursos que ocupa simultáneamente; como los gabinetes y los profesionales se COMPARTEN entre líneas, el motor reparte el tiempo disponible (asignación proporcional) y limita la producción a lo realmente atendible. Escenario ACTIVO: B (ampliación) — véase la ampliación programada en la tabla de recursos.</v>
      </c>
    </row>
    <row r="13">
      <c r="A13" s="2" t="str">
        <v>Plazo para alcanzar los niveles previstos</v>
      </c>
      <c r="B13" s="2" t="str">
        <v>Crecimiento de la demanda del 5 % anual desde el año 1 (supuesto ilustrativo); la ampliación de gabinetes programada en la tabla de recursos operativos (escenario B) sostiene el crecimiento posterior: el año de entrada, el CAPEX y la depreciación correspondiente se derivan del dato estructurado de la ampliación, no de este texto.</v>
      </c>
    </row>
    <row r="14">
      <c r="A14" s="2" t="str">
        <v>Tecnologías utilizadas</v>
      </c>
      <c r="B14" s="2" t="str">
        <v>Instalación base con equipamiento básico existente (dato ficticio).</v>
      </c>
    </row>
    <row r="15">
      <c r="A15" s="2" t="str">
        <v>Tecnologías a incorporar</v>
      </c>
      <c r="B15" s="2" t="str">
        <v>Radiógrafos digitales panorámicos/periapicales, sillones de última generación, autoclaves de vacío clase B, sistema de gestión clínica digital y laboratorio de prótesis CAD/CAM básico (todos supuestos ilustrativos).</v>
      </c>
    </row>
    <row r="16">
      <c r="A16" s="2" t="str">
        <v>Localización</v>
      </c>
      <c r="B16" s="2" t="str">
        <v>Municipio Playa, La Habana, Cuba (dirección ficticia: Calle Ejemplo e/ Ejemplo y Ejemplo, Reparto Ejemplo).</v>
      </c>
    </row>
    <row r="17">
      <c r="A17" s="2" t="str">
        <v>Infraestructura requerida</v>
      </c>
      <c r="B17" s="2" t="str">
        <v>Red eléctrica, agua, alcantarillado, comunicaciones y acceso vial disponibles en la ubicación (supuesto ilustrativo).</v>
      </c>
    </row>
    <row r="18">
      <c r="A18" s="2" t="str">
        <v>Terrenos e instalaciones</v>
      </c>
      <c r="B18" s="2" t="str">
        <v>Local en régimen de usufructo/arrendamiento estatal con canon anual parametrizado (supuesto ficticio).</v>
      </c>
    </row>
    <row r="19">
      <c r="A19" s="2" t="str">
        <v>Necesidades de construcción</v>
      </c>
      <c r="B19" s="2" t="str">
        <v>Adecuación de 450 m²: climatización, red de aire comprimido, aspiración centralizada, área de esterilización y laboratorio (monto ilustrativo en la tabla de inversiones).</v>
      </c>
    </row>
    <row r="20">
      <c r="A20" s="2" t="str">
        <v>Escenario de capacidad activo</v>
      </c>
      <c r="B20" s="2" t="str">
        <v>B — ampliaciones programadas</v>
      </c>
    </row>
  </sheetData>
  <ignoredErrors>
    <ignoredError numberStoredAsText="1" sqref="A1:E20"/>
  </ignoredErrors>
</worksheet>
</file>

<file path=xl/worksheets/sheet19.xml><?xml version="1.0" encoding="utf-8"?>
<worksheet xmlns="http://schemas.openxmlformats.org/spreadsheetml/2006/main" xmlns:r="http://schemas.openxmlformats.org/officeDocument/2006/relationships">
  <dimension ref="A1:B14"/>
  <sheetViews>
    <sheetView workbookViewId="0"/>
  </sheetViews>
  <cols>
    <col min="1" max="1" width="40.83203125" customWidth="1"/>
    <col min="2" max="2" width="90.83203125" customWidth="1"/>
  </cols>
  <sheetData>
    <row r="1">
      <c r="A1" s="3" t="str">
        <v>Análisis de mercado (4.8)</v>
      </c>
    </row>
    <row r="3">
      <c r="A3" s="28" t="str">
        <v>Caracterización de productos y servicios</v>
      </c>
      <c r="B3" s="2" t="str">
        <v>Servicios estomatológicos de calidad con estándares internacionales. Descripción ilustrativa para la demostración: la caracterización real exige estudios de mercado primarios.</v>
      </c>
    </row>
    <row r="4">
      <c r="A4" s="28" t="str">
        <v>Requisitos regulatorios y registros</v>
      </c>
      <c r="B4" s="2" t="str">
        <v>Licencia sanitaria (MINSAP), registro de la empresa mixta (Registro Mercantil), autorizaciones ambientales y de residuos biomédicos; requisitos de inversión extranjera (CEPEC/DAMN según corresponda). Lista ilustrativa: verificar la normativa aplicable y su estado de cumplimiento antes de la presentación.</v>
      </c>
    </row>
    <row r="5">
      <c r="A5" s="28" t="str">
        <v>Materias primas y materiales auxiliares</v>
      </c>
      <c r="B5" s="2" t="str">
        <v>Materiales odontológicos y consumibles: resinas, anestésicos, aleaciones, implantes, insumos de bioseguridad y esterilización (detalle ficticio).</v>
      </c>
    </row>
    <row r="6">
      <c r="A6" s="28" t="str">
        <v>Fuentes y ubicación de suministros</v>
      </c>
      <c r="B6" s="2" t="str">
        <v>Importación vía proveedores internacionales certificados (supuesto ficticio); evaluar proveedores nacionales donde exista oferta.</v>
      </c>
    </row>
    <row r="7">
      <c r="A7" s="28" t="str">
        <v>Consumo estimado</v>
      </c>
      <c r="B7" s="2" t="str">
        <v>Costo variable unitario por servicio precargado en la tabla de servicios (supuestos ficticios).</v>
      </c>
    </row>
    <row r="8">
      <c r="A8" s="28" t="str">
        <v>Demanda aparente</v>
      </c>
      <c r="B8" s="2" t="str">
        <v>Supuesto ilustrativo: población servida estimada de 240 000 habitantes y prevalencia de necesidad de tratamiento del 60 % de adultos. Estimación NO verificada: una propuesta real debe aportar fuentes con fecha.</v>
      </c>
    </row>
    <row r="9">
      <c r="A9" s="28" t="str">
        <v>Demanda solvente</v>
      </c>
      <c r="B9" s="2" t="str">
        <v>Supuesto ilustrativo: 38 000 personas con capacidad de pago en el área de influencia; captación objetivo del año 1 en torno al 12 %. Supuesto NO verificado.</v>
      </c>
    </row>
    <row r="10">
      <c r="A10" s="28" t="str">
        <v>Método de estimación</v>
      </c>
      <c r="B10" s="2" t="str">
        <v>Método ilustrativo por referencias públicas y supuestos de captación. La aplicación exige documentar fuentes y fechas; no simula investigación de mercado real.</v>
      </c>
    </row>
    <row r="11">
      <c r="A11" s="28" t="str">
        <v>Fuentes consultadas (con fecha)</v>
      </c>
      <c r="B11" s="2" t="str">
        <v>Fuentes ficticias de demostración: proyecciones demográficas ilustrativas y referencias sectoriales no verificadas.</v>
      </c>
    </row>
    <row r="12">
      <c r="A12" s="28" t="str">
        <v>Comercialización: exportaciones</v>
      </c>
      <c r="B12" s="2" t="str">
        <v>Atención a pacientes internacionales (turismo de salud): supuesto ilustrativo, crecimiento a partir del tercer año, incluido dentro de los precios en USD de la tabla de servicios (los ingresos en divisas deben desglosarse por canales sin duplicar operaciones).</v>
      </c>
    </row>
    <row r="13">
      <c r="A13" s="28" t="str">
        <v>Comercialización: divisas</v>
      </c>
      <c r="B13" s="2" t="str">
        <v>Los servicios se facturan en divisas según la política establecida (supuesto ficticio a definir).</v>
      </c>
    </row>
    <row r="14">
      <c r="A14" s="28" t="str">
        <v>Comercialización: moneda nacional</v>
      </c>
      <c r="B14" s="2" t="str">
        <v>Se contempla un componente de venta en moneda nacional a población nacional con capacidad de pago (supuesto ficticio a definir).</v>
      </c>
    </row>
  </sheetData>
  <ignoredErrors>
    <ignoredError numberStoredAsText="1" sqref="A1:B14"/>
  </ignoredErrors>
</worksheet>
</file>

<file path=xl/worksheets/sheet20.xml><?xml version="1.0" encoding="utf-8"?>
<worksheet xmlns="http://schemas.openxmlformats.org/spreadsheetml/2006/main" xmlns:r="http://schemas.openxmlformats.org/officeDocument/2006/relationships">
  <dimension ref="A1:B30"/>
  <sheetViews>
    <sheetView workbookViewId="0"/>
  </sheetViews>
  <cols>
    <col min="1" max="1" width="40.83203125" customWidth="1"/>
    <col min="2" max="2" width="90.83203125" customWidth="1"/>
  </cols>
  <sheetData>
    <row r="1">
      <c r="A1" s="3" t="str">
        <v>Descripción del negocio (4.1, 4.2, 4.5, 4.12)</v>
      </c>
    </row>
    <row r="3">
      <c r="A3" s="28" t="str">
        <v>Elaborado por</v>
      </c>
      <c r="B3" s="2" t="str">
        <v>[Pendiente: nombre y apellidos de quien elabora]</v>
      </c>
    </row>
    <row r="4">
      <c r="A4" s="28" t="str">
        <v>Cargo</v>
      </c>
      <c r="B4" s="2" t="str">
        <v>Especialista de inversiones (ejemplo ilustrativo)</v>
      </c>
    </row>
    <row r="5">
      <c r="A5" s="28" t="str">
        <v>Fecha</v>
      </c>
      <c r="B5" s="2" t="str">
        <v>2026-10-25</v>
      </c>
    </row>
    <row r="6">
      <c r="A6" s="28" t="str">
        <v>Declaración de responsabilidad</v>
      </c>
      <c r="B6" s="2" t="str">
        <v>Pendiente</v>
      </c>
    </row>
    <row r="7">
      <c r="A7" s="28" t="str">
        <v>Nombre del proyecto</v>
      </c>
      <c r="B7" s="2" t="str">
        <v>Clínica Estomatológica «Sonrisa Habana»</v>
      </c>
    </row>
    <row r="8">
      <c r="A8" s="28" t="str">
        <v>Denominación de la propuesta</v>
      </c>
      <c r="B8" s="2" t="str">
        <v>Constitución de una empresa mixta para la prestación de servicios estomatológicos integrales en La Habana</v>
      </c>
    </row>
    <row r="9">
      <c r="A9" s="28" t="str">
        <v>Modalidad de inversión</v>
      </c>
      <c r="B9" s="2" t="str">
        <v>Empresa Mixta (Ley 118/2014; Decreto-Ley 335/2018 — referencia ilustrativa a validar)</v>
      </c>
    </row>
    <row r="10">
      <c r="A10" s="28" t="str">
        <v>Objeto social o contractual</v>
      </c>
      <c r="B10" s="2" t="str">
        <v>Prestación de servicios estomatológicos integrales: consulta y diagnóstico, odontología preventiva, restauraciones, endodoncia, periodoncia, cirugía oral, prótesis estomatológica, ortodoncia e imagenología dental; atención a pacientes nacionales e internacionales y servicios de laboratorio de prótesis.</v>
      </c>
    </row>
    <row r="11">
      <c r="A11" s="28" t="str">
        <v>Plazo de vigencia</v>
      </c>
      <c r="B11" s="2" t="str">
        <v>20 años renovables (supuesto ilustrativo)</v>
      </c>
    </row>
    <row r="12">
      <c r="A12" s="28" t="str">
        <v>Fundamentación y propuesta de valor</v>
      </c>
      <c r="B12" s="2" t="str">
        <v>La propuesta responde a la demanda insatisfecha de servicios estomatológicos especializados con estándares internacionales, tanto para la población nacional con capacidad de pago como para pacientes internacionales. La clínica incorpora tecnología de diagnóstico digital, esterilización de última generación y protocolos de bioseguridad, con transferencia de conocimiento al personal cubano. Texto ilustrativo: debe sustentarse en estudios reales de demanda y competencia.</v>
      </c>
    </row>
    <row r="13">
      <c r="A13" s="28" t="str">
        <v>Relación con objetivos de la inversión extranjera</v>
      </c>
      <c r="B13" s="2" t="str">
        <v>Vinculación ilustrativa con los objetivos de la Ley 118: sustitución de servicios importados por oferta nacional; generación de ingresos exportables (atención a pacientes internacionales); transferencia de tecnología; creación de empleo calificado; encadenamientos con proveedores nacionales cuando exista oferta.</v>
      </c>
    </row>
    <row r="14">
      <c r="A14" s="28" t="str">
        <v>Relación con el PNDES</v>
      </c>
      <c r="B14" s="2" t="str">
        <v>Alineación ilustrativa con el Plan Nacional de Desarrollo Económico y Social: transformación de los servicios con alto valor agregado y exportables; elevación de la calidad de vida mediante servicios de salud. (Validar la alineación real con el PNDES vigente.)</v>
      </c>
    </row>
    <row r="15">
      <c r="A15" s="28" t="str">
        <v>Relación con la estrategia territorial</v>
      </c>
      <c r="B15" s="2" t="str">
        <v>Contribución ilustrativa a la Estrategia de Desarrollo Territorial de La Habana: fortalecimiento del polo de servicios de salud y posicionamiento como destino de turismo de salud. (Validar con la EDT municipal aplicable.)</v>
      </c>
    </row>
    <row r="16">
      <c r="A16" s="28" t="str">
        <v>Bienes y servicios</v>
      </c>
      <c r="B16" s="2" t="str">
        <v>Servicios estomatológicos especializados con equipamiento digital. Nueve líneas de servicio con precios, demanda prevista, duración y recursos requeridos definidos en 4.6; el motor de cálculo limita la producción a la capacidad instalada del escenario activo. El detalle de precios y volúmenes es un supuesto ficticio precargado para demostrar el modelo.</v>
      </c>
    </row>
    <row r="17">
      <c r="A17" s="28" t="str">
        <v>Mercado interno</v>
      </c>
      <c r="B17" s="2" t="str">
        <v>Demanda de la población con capacidad de pago en La Habana y municipios cercanos; convenios con entidades empleadoras para planes de atención. La demanda solvente y su captación son supuestos ilustrativos definidos en 4.8.</v>
      </c>
    </row>
    <row r="18">
      <c r="A18" s="28" t="str">
        <v>Mercado externo</v>
      </c>
      <c r="B18" s="2" t="str">
        <v>Atención a pacientes internacionales (turismo de salud) mediante acuerdos con turoperadores y plataformas de reservas médicas. Supuesto ilustrativo: participación creciente a partir del tercer año.</v>
      </c>
    </row>
    <row r="19">
      <c r="A19" s="28" t="str">
        <v>Regla de distribución de beneficios</v>
      </c>
      <c r="B19" s="2" t="str">
        <v>Distribución de utilidades conforme a la participación en el capital social (60 % socio extranjero / 40 % socio nacional, supuesto ilustrativo), previa absorción de pérdidas acumuladas y constitución de las reservas que correspondan según la legislación vigente. El módulo de dividendos del modelo distingue utilidad contable, utilidad distribuible, dividendos propuestos y dividendos pagables según la caja disponible. (Regla a validar jurídicamente.)</v>
      </c>
    </row>
    <row r="20">
      <c r="A20" s="28" t="str">
        <v>Inversionista extranjero — nombre</v>
      </c>
      <c r="B20" s="2" t="str">
        <v>Grupo Dental Internacional S.A. (ficticio)</v>
      </c>
    </row>
    <row r="21">
      <c r="A21" s="28" t="str">
        <v>Inversionista extranjero — domicilio</v>
      </c>
      <c r="B21" s="2" t="str">
        <v>Av. Ejemplo 123, Ciudad Ejemplo, País Ejemplo (dato ficticio)</v>
      </c>
    </row>
    <row r="22">
      <c r="A22" s="28" t="str">
        <v>Inversionista extranjero — identificación fiscal</v>
      </c>
      <c r="B22" s="2" t="str">
        <v>NIF-EJEMPLO-000000 (ficticio)</v>
      </c>
    </row>
    <row r="23">
      <c r="A23" s="28" t="str">
        <v>Inversionista extranjero — experiencia</v>
      </c>
      <c r="B23" s="2" t="str">
        <v>Operador ilustrativo de redes de clínicas dentales con 15 años de experiencia (dato ficticio para la demostración).</v>
      </c>
    </row>
    <row r="24">
      <c r="A24" s="28" t="str">
        <v>Inversionista extranjero — vinculación con Cuba</v>
      </c>
      <c r="B24" s="2" t="str">
        <v>Sin operaciones previas en Cuba (supuesto ilustrativo).</v>
      </c>
    </row>
    <row r="25">
      <c r="A25" s="28" t="str">
        <v>Inversionista nacional — nombre</v>
      </c>
      <c r="B25" s="2" t="str">
        <v>Entidad Nacional de Servicios de Salud (ficticia)</v>
      </c>
    </row>
    <row r="26">
      <c r="A26" s="28" t="str">
        <v>Inversionista nacional — domicilio</v>
      </c>
      <c r="B26" s="2" t="str">
        <v>Calle Ejemplo 456, La Habana, Cuba (dato ficticio)</v>
      </c>
    </row>
    <row r="27">
      <c r="A27" s="28" t="str">
        <v>Inversionista nacional — identificación fiscal</v>
      </c>
      <c r="B27" s="2" t="str">
        <v>Código ONAT ficticio (dato ilustrativo)</v>
      </c>
    </row>
    <row r="28">
      <c r="A28" s="28" t="str">
        <v>Inversionista nacional — experiencia</v>
      </c>
      <c r="B28" s="2" t="str">
        <v>Entidad empleadora y prestadora de servicios de salud conforme a su objeto social vigente (dato ficticio).</v>
      </c>
    </row>
    <row r="29">
      <c r="A29" s="28" t="str">
        <v>Inversionista nacional — vinculación con Cuba</v>
      </c>
      <c r="B29" s="2" t="str">
        <v>Aporta instalaciones y fuerza de trabajo calificada (supuesto ilustrativo).</v>
      </c>
    </row>
    <row r="30">
      <c r="A30" s="28" t="str">
        <v>Conclusiones (marco del usuario)</v>
      </c>
      <c r="B30" s="2" t="str">
        <v>CONCLUSIONES (marco de lectura del ejemplo ilustrativo): la síntesis cuantitativa de este apartado se GENERA a partir del modelo de cálculo activo y acompaña a este texto en la vista documental y en el PDF; no está escrita de antemano y se recalcula con cada cambio de datos, parámetros o fórmulas. En consecuencia, el lector debe interpretar la inversión, los ingresos, la utilidad, la recuperación de la inversión total y del capital aportado, los dividendos y los beneficios directos al país a partir de la sección «Conclusiones (análisis dinámico)», no de este párrafo. ADVERTENCIA: este ejemplo se basa íntegramente en datos ficticios de demostración y no constituye una evaluación de viabilidad real. Una propuesta seria exige validar la demanda solvente, los precios, los costos, la tasa tributaria aplicable, las licencias sanitarias y los requisitos legales y de inversión, y debe reconocer expresamente cualquier limitación pendiente que el diagnóstico del modelo señale.</v>
      </c>
    </row>
  </sheetData>
  <ignoredErrors>
    <ignoredError numberStoredAsText="1" sqref="A1:B30"/>
  </ignoredErrors>
</worksheet>
</file>

<file path=xl/worksheets/sheet21.xml><?xml version="1.0" encoding="utf-8"?>
<worksheet xmlns="http://schemas.openxmlformats.org/spreadsheetml/2006/main" xmlns:r="http://schemas.openxmlformats.org/officeDocument/2006/relationships">
  <dimension ref="A1:I57"/>
  <sheetViews>
    <sheetView workbookViewId="0"/>
  </sheetViews>
  <cols>
    <col min="1" max="1" width="26.83203125" customWidth="1"/>
    <col min="2" max="2" width="34.83203125" customWidth="1"/>
    <col min="3" max="3" width="20.83203125" customWidth="1"/>
    <col min="4" max="4" width="10.83203125" customWidth="1"/>
    <col min="5" max="5" width="12.83203125" customWidth="1"/>
    <col min="6" max="6" width="11.83203125" customWidth="1"/>
    <col min="7" max="7" width="90.83203125" customWidth="1"/>
    <col min="8" max="8" width="90.83203125" customWidth="1"/>
    <col min="9" max="9" width="24.83203125" customWidth="1"/>
  </cols>
  <sheetData>
    <row r="1">
      <c r="A1" s="3" t="str">
        <v>Configuración de cálculos — reglas activas (Nivel B)</v>
      </c>
    </row>
    <row r="3">
      <c r="A3" s="28" t="str">
        <v>ID</v>
      </c>
      <c r="B3" s="28" t="str">
        <v>Nombre</v>
      </c>
      <c r="C3" s="28" t="str">
        <v>Categoría</v>
      </c>
      <c r="D3" s="28" t="str">
        <v>Ámbito</v>
      </c>
      <c r="E3" s="28" t="str">
        <v>Unidad</v>
      </c>
      <c r="F3" s="28" t="str">
        <v>Habilitada</v>
      </c>
      <c r="G3" s="28" t="str">
        <v>Expresión activa (motor PLANEX)</v>
      </c>
      <c r="H3" s="28" t="str">
        <v>Equivalente Excel (año 1)</v>
      </c>
      <c r="I3" s="28" t="str">
        <v>Estado</v>
      </c>
    </row>
    <row r="4">
      <c r="A4" s="2" t="str">
        <v>srv_precio_proy</v>
      </c>
      <c r="B4" s="2" t="str">
        <v>Precio proyectado del servicio</v>
      </c>
      <c r="C4" s="2" t="str">
        <v>Servicios</v>
      </c>
      <c r="D4" s="2" t="str">
        <v>servicio</v>
      </c>
      <c r="E4" s="2" t="str">
        <v>USD/servicio</v>
      </c>
      <c r="F4" s="2" t="str">
        <v>Sí</v>
      </c>
      <c r="G4" s="2" t="str">
        <v>precio_base * (1 + crecimiento_precios) ^ MAX(0, PERIODO - 1)</v>
      </c>
      <c r="H4" s="2" t="str">
        <v>=(C4*((1+Parametros!$C$10)^MAX(0,($A4-1))))</v>
      </c>
      <c r="I4" s="2" t="str">
        <v>TRADUCIDA</v>
      </c>
    </row>
    <row r="5">
      <c r="A5" s="2" t="str">
        <v>srv_cantidad_mensual_proy</v>
      </c>
      <c r="B5" s="2" t="str">
        <v>Demanda mensual prevista</v>
      </c>
      <c r="C5" s="2" t="str">
        <v>Servicios</v>
      </c>
      <c r="D5" s="2" t="str">
        <v>servicio</v>
      </c>
      <c r="E5" s="2" t="str">
        <v>servicios/mes</v>
      </c>
      <c r="F5" s="2" t="str">
        <v>Sí</v>
      </c>
      <c r="G5" s="2" t="str">
        <v>IF(PERIODO &gt;= anio_inicio_demanda, cantidad_base_mensual * (1 + crecimiento_volumen) ^ MAX(0, PERIODO - anio_inicio_demanda), 0)</v>
      </c>
      <c r="H5" s="2" t="str">
        <v>=IF(($A4&gt;=Q4),(D4*((1+Parametros!$C$11)^MAX(0,($A4-Q4)))),0)</v>
      </c>
      <c r="I5" s="2" t="str">
        <v>TRADUCIDA</v>
      </c>
    </row>
    <row r="6">
      <c r="A6" s="2" t="str">
        <v>srv_costo_unitario_proy</v>
      </c>
      <c r="B6" s="2" t="str">
        <v>Costo variable unitario proyectado</v>
      </c>
      <c r="C6" s="2" t="str">
        <v>Servicios</v>
      </c>
      <c r="D6" s="2" t="str">
        <v>servicio</v>
      </c>
      <c r="E6" s="2" t="str">
        <v>USD/servicio</v>
      </c>
      <c r="F6" s="2" t="str">
        <v>Sí</v>
      </c>
      <c r="G6" s="2" t="str">
        <v>costo_variable_unitario * (1 + inflacion) ^ MAX(0, PERIODO - 1)</v>
      </c>
      <c r="H6" s="2" t="str">
        <v>=(F4*((1+Parametros!$C$8)^MAX(0,($A4-1))))</v>
      </c>
      <c r="I6" s="2" t="str">
        <v>TRADUCIDA</v>
      </c>
    </row>
    <row r="7">
      <c r="A7" s="2" t="str">
        <v>srv_cantidad_real_mensual</v>
      </c>
      <c r="B7" s="2" t="str">
        <v>Cantidad realizable mensual (limitada por capacidad)</v>
      </c>
      <c r="C7" s="2" t="str">
        <v>Servicios</v>
      </c>
      <c r="D7" s="2" t="str">
        <v>servicio</v>
      </c>
      <c r="E7" s="2" t="str">
        <v>servicios/mes</v>
      </c>
      <c r="F7" s="2" t="str">
        <v>Sí</v>
      </c>
      <c r="G7" s="2" t="str">
        <v>mtr_cantidad_real_mensual</v>
      </c>
      <c r="H7" s="2" t="str">
        <v>=Capacidad!$E$4</v>
      </c>
      <c r="I7" s="2" t="str">
        <v>TRADUCIDA</v>
      </c>
    </row>
    <row r="8">
      <c r="A8" s="2" t="str">
        <v>srv_cantidad_anual</v>
      </c>
      <c r="B8" s="2" t="str">
        <v>Cantidad anual de servicios</v>
      </c>
      <c r="C8" s="2" t="str">
        <v>Servicios</v>
      </c>
      <c r="D8" s="2" t="str">
        <v>servicio</v>
      </c>
      <c r="E8" s="2" t="str">
        <v>servicios/año</v>
      </c>
      <c r="F8" s="2" t="str">
        <v>Sí</v>
      </c>
      <c r="G8" s="2" t="str">
        <v>srv_cantidad_real_mensual * MESES_ANIO</v>
      </c>
      <c r="H8" s="2" t="str">
        <v>=(I4*12)</v>
      </c>
      <c r="I8" s="2" t="str">
        <v>TRADUCIDA</v>
      </c>
    </row>
    <row r="9">
      <c r="A9" s="2" t="str">
        <v>srv_ingreso_anual</v>
      </c>
      <c r="B9" s="2" t="str">
        <v>Ingreso anual por servicio</v>
      </c>
      <c r="C9" s="2" t="str">
        <v>Ingresos</v>
      </c>
      <c r="D9" s="2" t="str">
        <v>servicio</v>
      </c>
      <c r="E9" s="2" t="str">
        <v>USD/año</v>
      </c>
      <c r="F9" s="2" t="str">
        <v>Sí</v>
      </c>
      <c r="G9" s="2" t="str">
        <v>srv_precio_proy * srv_cantidad_anual</v>
      </c>
      <c r="H9" s="2" t="str">
        <v>=(G4*J4)</v>
      </c>
      <c r="I9" s="2" t="str">
        <v>TRADUCIDA</v>
      </c>
    </row>
    <row r="10">
      <c r="A10" s="2" t="str">
        <v>srv_costo_variable_total</v>
      </c>
      <c r="B10" s="2" t="str">
        <v>Costo variable total del servicio</v>
      </c>
      <c r="C10" s="2" t="str">
        <v>Costos</v>
      </c>
      <c r="D10" s="2" t="str">
        <v>servicio</v>
      </c>
      <c r="E10" s="2" t="str">
        <v>USD/año</v>
      </c>
      <c r="F10" s="2" t="str">
        <v>Sí</v>
      </c>
      <c r="G10" s="2" t="str">
        <v>srv_costo_unitario_proy * srv_cantidad_anual</v>
      </c>
      <c r="H10" s="2" t="str">
        <v>=(K4*J4)</v>
      </c>
      <c r="I10" s="2" t="str">
        <v>TRADUCIDA</v>
      </c>
    </row>
    <row r="11">
      <c r="A11" s="2" t="str">
        <v>srv_margen_contribucion</v>
      </c>
      <c r="B11" s="2" t="str">
        <v>Margen de contribución del servicio</v>
      </c>
      <c r="C11" s="2" t="str">
        <v>Servicios</v>
      </c>
      <c r="D11" s="2" t="str">
        <v>servicio</v>
      </c>
      <c r="E11" s="2" t="str">
        <v>USD/año</v>
      </c>
      <c r="F11" s="2" t="str">
        <v>Sí</v>
      </c>
      <c r="G11" s="2" t="str">
        <v>srv_ingreso_anual - srv_costo_variable_total</v>
      </c>
      <c r="H11" s="2" t="str">
        <v>=(L4-M4)</v>
      </c>
      <c r="I11" s="2" t="str">
        <v>TRADUCIDA</v>
      </c>
    </row>
    <row r="12">
      <c r="A12" s="2" t="str">
        <v>salario_anual_proy</v>
      </c>
      <c r="B12" s="2" t="str">
        <v>Salario anual proyectado</v>
      </c>
      <c r="C12" s="2" t="str">
        <v>Personal</v>
      </c>
      <c r="D12" s="2" t="str">
        <v>personal</v>
      </c>
      <c r="E12" s="2" t="str">
        <v>CUP/año</v>
      </c>
      <c r="F12" s="2" t="str">
        <v>Sí</v>
      </c>
      <c r="G12" s="2" t="str">
        <v>salario_promedio_anual * (1 + crecimiento_salarios) ^ MAX(0, PERIODO - 1)</v>
      </c>
      <c r="H12" s="2" t="str">
        <v>=(E4*((1+Parametros!$C$12)^MAX(0,($A4-1))))</v>
      </c>
      <c r="I12" s="2" t="str">
        <v>TRADUCIDA</v>
      </c>
    </row>
    <row r="13">
      <c r="A13" s="2" t="str">
        <v>gastos_previos_k</v>
      </c>
      <c r="B13" s="2" t="str">
        <v>Gastos previos (USD)</v>
      </c>
      <c r="C13" s="2" t="str">
        <v>Inversión y financiación</v>
      </c>
      <c r="D13" s="2" t="str">
        <v>proyecto</v>
      </c>
      <c r="E13" s="2" t="str">
        <v>kUSD</v>
      </c>
      <c r="F13" s="2" t="str">
        <v>Sí</v>
      </c>
      <c r="G13" s="2" t="str">
        <v>SUMA_INVERSIONES(IF(AND(categoria_inv = "gastos_previos", moneda_inv = "USD"), monto_inv, 0))</v>
      </c>
      <c r="H13" s="2" t="str">
        <v>=SUMIFS(Inversion!$D$4:$D$14,Inversion!$B$4:$B$14,"gastos_previos",Inversion!$C$4:$C$14,"USD")</v>
      </c>
      <c r="I13" s="2" t="str">
        <v>TRADUCIDA</v>
      </c>
    </row>
    <row r="14">
      <c r="A14" s="2" t="str">
        <v>inversion_fija_usd_k</v>
      </c>
      <c r="B14" s="2" t="str">
        <v>Inversión fija en USD</v>
      </c>
      <c r="C14" s="2" t="str">
        <v>Inversión y financiación</v>
      </c>
      <c r="D14" s="2" t="str">
        <v>proyecto</v>
      </c>
      <c r="E14" s="2" t="str">
        <v>kUSD</v>
      </c>
      <c r="F14" s="2" t="str">
        <v>Sí</v>
      </c>
      <c r="G14" s="2" t="str">
        <v>SUMA_INVERSIONES(IF(AND(categoria_inv = "inversion_fija", moneda_inv = "USD"), monto_inv, 0))</v>
      </c>
      <c r="H14" s="2" t="str">
        <v>=SUMIFS(Inversion!$D$4:$D$14,Inversion!$B$4:$B$14,"inversion_fija",Inversion!$C$4:$C$14,"USD")</v>
      </c>
      <c r="I14" s="2" t="str">
        <v>TRADUCIDA</v>
      </c>
    </row>
    <row r="15">
      <c r="A15" s="2" t="str">
        <v>inversion_fija_cup_k</v>
      </c>
      <c r="B15" s="2" t="str">
        <v>Inversión fija en CUP convertida</v>
      </c>
      <c r="C15" s="2" t="str">
        <v>Inversión y financiación</v>
      </c>
      <c r="D15" s="2" t="str">
        <v>proyecto</v>
      </c>
      <c r="E15" s="2" t="str">
        <v>kUSD</v>
      </c>
      <c r="F15" s="2" t="str">
        <v>Sí</v>
      </c>
      <c r="G15" s="2" t="str">
        <v>SUMA_INVERSIONES(IF(AND(categoria_inv = "inversion_fija", moneda_inv = "CUP"), monto_inv, 0)) / tipo_cambio</v>
      </c>
      <c r="H15" s="2" t="str">
        <v>=(SUMIFS(Inversion!$D$4:$D$14,Inversion!$B$4:$B$14,"inversion_fija",Inversion!$C$4:$C$14,"CUP")/Parametros!$C$4)</v>
      </c>
      <c r="I15" s="2" t="str">
        <v>TRADUCIDA</v>
      </c>
    </row>
    <row r="16">
      <c r="A16" s="2" t="str">
        <v>inversion_fija_k</v>
      </c>
      <c r="B16" s="2" t="str">
        <v>Inversión fija total</v>
      </c>
      <c r="C16" s="2" t="str">
        <v>Inversión y financiación</v>
      </c>
      <c r="D16" s="2" t="str">
        <v>proyecto</v>
      </c>
      <c r="E16" s="2" t="str">
        <v>kUSD</v>
      </c>
      <c r="F16" s="2" t="str">
        <v>Sí</v>
      </c>
      <c r="G16" s="2" t="str">
        <v>inversion_fija_usd_k + inversion_fija_cup_k</v>
      </c>
      <c r="H16" s="2" t="str">
        <v>=(Parametros!$C$2+Parametros!$C$2)</v>
      </c>
      <c r="I16" s="2" t="str">
        <v>TRADUCIDA</v>
      </c>
    </row>
    <row r="17">
      <c r="A17" s="2" t="str">
        <v>inversion_total_k</v>
      </c>
      <c r="B17" s="2" t="str">
        <v>Costo total de la inversión inicial</v>
      </c>
      <c r="C17" s="2" t="str">
        <v>Inversión y financiación</v>
      </c>
      <c r="D17" s="2" t="str">
        <v>proyecto</v>
      </c>
      <c r="E17" s="2" t="str">
        <v>kUSD</v>
      </c>
      <c r="F17" s="2" t="str">
        <v>Sí</v>
      </c>
      <c r="G17" s="2" t="str">
        <v>gastos_previos_k + inversion_fija_k + capital_trabajo_k</v>
      </c>
      <c r="H17" s="2" t="str">
        <v>=((Parametros!$C$2+Parametros!$C$2)+Parametros!$C$25)</v>
      </c>
      <c r="I17" s="2" t="str">
        <v>TRADUCIDA</v>
      </c>
    </row>
    <row r="18">
      <c r="A18" s="2" t="str">
        <v>aportaciones_total_k</v>
      </c>
      <c r="B18" s="2" t="str">
        <v>Total de aportaciones de los socios</v>
      </c>
      <c r="C18" s="2" t="str">
        <v>Inversión y financiación</v>
      </c>
      <c r="D18" s="2" t="str">
        <v>proyecto</v>
      </c>
      <c r="E18" s="2" t="str">
        <v>kUSD</v>
      </c>
      <c r="F18" s="2" t="str">
        <v>Sí</v>
      </c>
      <c r="G18" s="2" t="str">
        <v>SUMA_APORTACIONES(monto_aportacion)</v>
      </c>
      <c r="H18" s="2" t="str">
        <v>=SUM(Aportaciones!$F$4:$F$8)</v>
      </c>
      <c r="I18" s="2" t="str">
        <v>TRADUCIDA</v>
      </c>
    </row>
    <row r="19">
      <c r="A19" s="2" t="str">
        <v>financiacion_disponible_k</v>
      </c>
      <c r="B19" s="2" t="str">
        <v>Financiación disponible</v>
      </c>
      <c r="C19" s="2" t="str">
        <v>Inversión y financiación</v>
      </c>
      <c r="D19" s="2" t="str">
        <v>proyecto</v>
      </c>
      <c r="E19" s="2" t="str">
        <v>kUSD</v>
      </c>
      <c r="F19" s="2" t="str">
        <v>Sí</v>
      </c>
      <c r="G19" s="2" t="str">
        <v>aportaciones_total_k + otras_fuentes_k + credito_monto_k</v>
      </c>
      <c r="H19" s="2" t="str">
        <v>=((Parametros!$C$2+Parametros!$C$24)+Parametros!$C$23)</v>
      </c>
      <c r="I19" s="2" t="str">
        <v>TRADUCIDA</v>
      </c>
    </row>
    <row r="20">
      <c r="A20" s="2" t="str">
        <v>necesidad_financiacion_k</v>
      </c>
      <c r="B20" s="2" t="str">
        <v>Necesidad de financiación</v>
      </c>
      <c r="C20" s="2" t="str">
        <v>Inversión y financiación</v>
      </c>
      <c r="D20" s="2" t="str">
        <v>proyecto</v>
      </c>
      <c r="E20" s="2" t="str">
        <v>kUSD</v>
      </c>
      <c r="F20" s="2" t="str">
        <v>Sí</v>
      </c>
      <c r="G20" s="2" t="str">
        <v>inversion_total_k - aportaciones_total_k - otras_fuentes_k</v>
      </c>
      <c r="H20" s="2" t="str">
        <v>=((Parametros!$C$2-Parametros!$C$2)-Parametros!$C$24)</v>
      </c>
      <c r="I20" s="2" t="str">
        <v>TRADUCIDA</v>
      </c>
    </row>
    <row r="21">
      <c r="A21" s="2" t="str">
        <v>diferencia_financiacion_k</v>
      </c>
      <c r="B21" s="2" t="str">
        <v>Diferencia de financiación</v>
      </c>
      <c r="C21" s="2" t="str">
        <v>Inversión y financiación</v>
      </c>
      <c r="D21" s="2" t="str">
        <v>proyecto</v>
      </c>
      <c r="E21" s="2" t="str">
        <v>kUSD</v>
      </c>
      <c r="F21" s="2" t="str">
        <v>Sí</v>
      </c>
      <c r="G21" s="2" t="str">
        <v>financiacion_disponible_k - inversion_total_k</v>
      </c>
      <c r="H21" s="2" t="str">
        <v>=(Parametros!$C$2-Parametros!$C$2)</v>
      </c>
      <c r="I21" s="2" t="str">
        <v>TRADUCIDA</v>
      </c>
    </row>
    <row r="22">
      <c r="A22" s="2" t="str">
        <v>ingresos_servicios_usd</v>
      </c>
      <c r="B22" s="2" t="str">
        <v>Ingresos por servicios (USD)</v>
      </c>
      <c r="C22" s="2" t="str">
        <v>Ingresos</v>
      </c>
      <c r="D22" s="2" t="str">
        <v>anio</v>
      </c>
      <c r="E22" s="2" t="str">
        <v>USD</v>
      </c>
      <c r="F22" s="2" t="str">
        <v>Sí</v>
      </c>
      <c r="G22" s="2" t="str">
        <v>SUMA_SERVICIOS(srv_ingreso_anual)</v>
      </c>
      <c r="H22" s="2" t="str">
        <v>=SUMIFS(Servicios!$L$4:$L$93,Servicios!$A$4:$A$93,D$3)</v>
      </c>
      <c r="I22" s="2" t="str">
        <v>TRADUCIDA</v>
      </c>
    </row>
    <row r="23">
      <c r="A23" s="2" t="str">
        <v>ingresos_servicios_k</v>
      </c>
      <c r="B23" s="2" t="str">
        <v>Ingresos por servicios</v>
      </c>
      <c r="C23" s="2" t="str">
        <v>Ingresos</v>
      </c>
      <c r="D23" s="2" t="str">
        <v>anio</v>
      </c>
      <c r="E23" s="2" t="str">
        <v>kUSD</v>
      </c>
      <c r="F23" s="2" t="str">
        <v>Sí</v>
      </c>
      <c r="G23" s="2" t="str">
        <v>ingresos_servicios_usd / 1000</v>
      </c>
      <c r="H23" s="2" t="str">
        <v>=(D$4/1000)</v>
      </c>
      <c r="I23" s="2" t="str">
        <v>TRADUCIDA</v>
      </c>
    </row>
    <row r="24">
      <c r="A24" s="2" t="str">
        <v>ingresos_totales_k</v>
      </c>
      <c r="B24" s="2" t="str">
        <v>Ingresos totales</v>
      </c>
      <c r="C24" s="2" t="str">
        <v>Ingresos</v>
      </c>
      <c r="D24" s="2" t="str">
        <v>anio</v>
      </c>
      <c r="E24" s="2" t="str">
        <v>kUSD</v>
      </c>
      <c r="F24" s="2" t="str">
        <v>Sí</v>
      </c>
      <c r="G24" s="2" t="str">
        <v>ingresos_servicios_k + otros_ingresos_serie</v>
      </c>
      <c r="H24" s="2" t="str">
        <v>=(D$5+D$6)</v>
      </c>
      <c r="I24" s="2" t="str">
        <v>TRADUCIDA</v>
      </c>
    </row>
    <row r="25">
      <c r="A25" s="2" t="str">
        <v>costos_variables_usd</v>
      </c>
      <c r="B25" s="2" t="str">
        <v>Costos variables (USD)</v>
      </c>
      <c r="C25" s="2" t="str">
        <v>Costos</v>
      </c>
      <c r="D25" s="2" t="str">
        <v>anio</v>
      </c>
      <c r="E25" s="2" t="str">
        <v>USD</v>
      </c>
      <c r="F25" s="2" t="str">
        <v>Sí</v>
      </c>
      <c r="G25" s="2" t="str">
        <v>SUMA_SERVICIOS(srv_costo_variable_total)</v>
      </c>
      <c r="H25" s="2" t="str">
        <v>=SUMIFS(Servicios!$M$4:$M$93,Servicios!$A$4:$A$93,D$3)</v>
      </c>
      <c r="I25" s="2" t="str">
        <v>TRADUCIDA</v>
      </c>
    </row>
    <row r="26">
      <c r="A26" s="2" t="str">
        <v>costos_variables_k</v>
      </c>
      <c r="B26" s="2" t="str">
        <v>Costos variables</v>
      </c>
      <c r="C26" s="2" t="str">
        <v>Costos</v>
      </c>
      <c r="D26" s="2" t="str">
        <v>anio</v>
      </c>
      <c r="E26" s="2" t="str">
        <v>kUSD</v>
      </c>
      <c r="F26" s="2" t="str">
        <v>Sí</v>
      </c>
      <c r="G26" s="2" t="str">
        <v>costos_variables_usd / 1000</v>
      </c>
      <c r="H26" s="2" t="str">
        <v>=(D$8/1000)</v>
      </c>
      <c r="I26" s="2" t="str">
        <v>TRADUCIDA</v>
      </c>
    </row>
    <row r="27">
      <c r="A27" s="2" t="str">
        <v>costo_laboral_cup</v>
      </c>
      <c r="B27" s="2" t="str">
        <v>Costo laboral en CUP</v>
      </c>
      <c r="C27" s="2" t="str">
        <v>Costos</v>
      </c>
      <c r="D27" s="2" t="str">
        <v>anio</v>
      </c>
      <c r="E27" s="2" t="str">
        <v>CUP</v>
      </c>
      <c r="F27" s="2" t="str">
        <v>Sí</v>
      </c>
      <c r="G27" s="2" t="str">
        <v>SUMA_PERSONAL(cantidad * salario_anual_proy) * factor_costo_laboral</v>
      </c>
      <c r="H27" s="2" t="str">
        <v>=(SUMPRODUCT((Personal!$A$4:$A$54=D$3)*$D$4:$D$54*$F$4:$F$54)*Parametros!$C$15)</v>
      </c>
      <c r="I27" s="2" t="str">
        <v>TRADUCIDA</v>
      </c>
    </row>
    <row r="28">
      <c r="A28" s="2" t="str">
        <v>costo_laboral_k</v>
      </c>
      <c r="B28" s="2" t="str">
        <v>Costo laboral</v>
      </c>
      <c r="C28" s="2" t="str">
        <v>Costos</v>
      </c>
      <c r="D28" s="2" t="str">
        <v>anio</v>
      </c>
      <c r="E28" s="2" t="str">
        <v>kUSD</v>
      </c>
      <c r="F28" s="2" t="str">
        <v>Sí</v>
      </c>
      <c r="G28" s="2" t="str">
        <v>costo_laboral_cup / tipo_cambio / 1000</v>
      </c>
      <c r="H28" s="2" t="str">
        <v>=((D$10/Parametros!$C$4)/1000)</v>
      </c>
      <c r="I28" s="2" t="str">
        <v>TRADUCIDA</v>
      </c>
    </row>
    <row r="29">
      <c r="A29" s="2" t="str">
        <v>canon_k</v>
      </c>
      <c r="B29" s="2" t="str">
        <v>Canon (años de operación)</v>
      </c>
      <c r="C29" s="2" t="str">
        <v>Costos</v>
      </c>
      <c r="D29" s="2" t="str">
        <v>anio</v>
      </c>
      <c r="E29" s="2" t="str">
        <v>kUSD</v>
      </c>
      <c r="F29" s="2" t="str">
        <v>Sí</v>
      </c>
      <c r="G29" s="2" t="str">
        <v>IF(PERIODO &gt;= 1, canon_anual_k * (1 + inflacion_costos_fijos) ^ MAX(0, PERIODO - 1), 0)</v>
      </c>
      <c r="H29" s="2" t="str">
        <v>=IF((D$3&gt;=1),(Parametros!$C$21*((1+Parametros!$C$9)^MAX(0,(D$3-1)))),0)</v>
      </c>
      <c r="I29" s="2" t="str">
        <v>TRADUCIDA</v>
      </c>
    </row>
    <row r="30">
      <c r="A30" s="2" t="str">
        <v>servicios_publicos_k</v>
      </c>
      <c r="B30" s="2" t="str">
        <v>Servicios públicos (años de operación)</v>
      </c>
      <c r="C30" s="2" t="str">
        <v>Costos</v>
      </c>
      <c r="D30" s="2" t="str">
        <v>anio</v>
      </c>
      <c r="E30" s="2" t="str">
        <v>kUSD</v>
      </c>
      <c r="F30" s="2" t="str">
        <v>Sí</v>
      </c>
      <c r="G30" s="2" t="str">
        <v>IF(PERIODO &gt;= 1, servicios_publicos_anual_k * (1 + inflacion_costos_fijos) ^ MAX(0, PERIODO - 1), 0)</v>
      </c>
      <c r="H30" s="2" t="str">
        <v>=IF((D$3&gt;=1),(Parametros!$C$20*((1+Parametros!$C$9)^MAX(0,(D$3-1)))),0)</v>
      </c>
      <c r="I30" s="2" t="str">
        <v>TRADUCIDA</v>
      </c>
    </row>
    <row r="31">
      <c r="A31" s="2" t="str">
        <v>otros_gastos_k</v>
      </c>
      <c r="B31" s="2" t="str">
        <v>Otros gastos fijos (años de operación)</v>
      </c>
      <c r="C31" s="2" t="str">
        <v>Costos</v>
      </c>
      <c r="D31" s="2" t="str">
        <v>anio</v>
      </c>
      <c r="E31" s="2" t="str">
        <v>kUSD</v>
      </c>
      <c r="F31" s="2" t="str">
        <v>Sí</v>
      </c>
      <c r="G31" s="2" t="str">
        <v>IF(PERIODO &gt;= 1, otros_gastos_fijos_k * (1 + inflacion_costos_fijos) ^ MAX(0, PERIODO - 1), 0)</v>
      </c>
      <c r="H31" s="2" t="str">
        <v>=IF((D$3&gt;=1),(Parametros!$C$22*((1+Parametros!$C$9)^MAX(0,(D$3-1)))),0)</v>
      </c>
      <c r="I31" s="2" t="str">
        <v>TRADUCIDA</v>
      </c>
    </row>
    <row r="32">
      <c r="A32" s="2" t="str">
        <v>mantenimiento_k</v>
      </c>
      <c r="B32" s="2" t="str">
        <v>Mantenimiento (años de operación)</v>
      </c>
      <c r="C32" s="2" t="str">
        <v>Costos</v>
      </c>
      <c r="D32" s="2" t="str">
        <v>anio</v>
      </c>
      <c r="E32" s="2" t="str">
        <v>kUSD</v>
      </c>
      <c r="F32" s="2" t="str">
        <v>Sí</v>
      </c>
      <c r="G32" s="2" t="str">
        <v>IF(PERIODO &gt;= 1, pct_mantenimiento * inversion_fija_k, 0)</v>
      </c>
      <c r="H32" s="2" t="str">
        <v>=IF((D$3&gt;=1),(Parametros!$C$14*Parametros!$C$2),0)</v>
      </c>
      <c r="I32" s="2" t="str">
        <v>TRADUCIDA</v>
      </c>
    </row>
    <row r="33">
      <c r="A33" s="2" t="str">
        <v>gastos_admin_k</v>
      </c>
      <c r="B33" s="2" t="str">
        <v>Gastos administrativos</v>
      </c>
      <c r="C33" s="2" t="str">
        <v>Costos</v>
      </c>
      <c r="D33" s="2" t="str">
        <v>anio</v>
      </c>
      <c r="E33" s="2" t="str">
        <v>kUSD</v>
      </c>
      <c r="F33" s="2" t="str">
        <v>Sí</v>
      </c>
      <c r="G33" s="2" t="str">
        <v>pct_gastos_admin * ingresos_totales_k</v>
      </c>
      <c r="H33" s="2" t="str">
        <v>=(Parametros!$C$13*D$7)</v>
      </c>
      <c r="I33" s="2" t="str">
        <v>TRADUCIDA</v>
      </c>
    </row>
    <row r="34">
      <c r="A34" s="2" t="str">
        <v>depreciacion_anual_k</v>
      </c>
      <c r="B34" s="2" t="str">
        <v>Depreciación anual (calendario por activo)</v>
      </c>
      <c r="C34" s="2" t="str">
        <v>Costos</v>
      </c>
      <c r="D34" s="2" t="str">
        <v>anio</v>
      </c>
      <c r="E34" s="2" t="str">
        <v>kUSD</v>
      </c>
      <c r="F34" s="2" t="str">
        <v>Sí</v>
      </c>
      <c r="G34" s="2" t="str">
        <v>mtr_depreciacion_k</v>
      </c>
      <c r="H34" s="2" t="str">
        <v>=Depreciacion!J$13</v>
      </c>
      <c r="I34" s="2" t="str">
        <v>TRADUCIDA</v>
      </c>
    </row>
    <row r="35">
      <c r="A35" s="2" t="str">
        <v>interes_k</v>
      </c>
      <c r="B35" s="2" t="str">
        <v>Intereses del crédito (gasto devengado)</v>
      </c>
      <c r="C35" s="2" t="str">
        <v>Costos</v>
      </c>
      <c r="D35" s="2" t="str">
        <v>anio</v>
      </c>
      <c r="E35" s="2" t="str">
        <v>kUSD</v>
      </c>
      <c r="F35" s="2" t="str">
        <v>Sí</v>
      </c>
      <c r="G35" s="2" t="str">
        <v>mtr_interes_devengado_k</v>
      </c>
      <c r="H35" s="2" t="str">
        <v>=Deuda!$D$5</v>
      </c>
      <c r="I35" s="2" t="str">
        <v>TRADUCIDA</v>
      </c>
    </row>
    <row r="36">
      <c r="A36" s="2" t="str">
        <v>amortizacion_k</v>
      </c>
      <c r="B36" s="2" t="str">
        <v>Amortización del principal del crédito</v>
      </c>
      <c r="C36" s="2" t="str">
        <v>Inversión y financiación</v>
      </c>
      <c r="D36" s="2" t="str">
        <v>anio</v>
      </c>
      <c r="E36" s="2" t="str">
        <v>kUSD</v>
      </c>
      <c r="F36" s="2" t="str">
        <v>Sí</v>
      </c>
      <c r="G36" s="2" t="str">
        <v>mtr_amortizacion_k</v>
      </c>
      <c r="H36" s="2" t="str">
        <v>=Deuda!$F$5</v>
      </c>
      <c r="I36" s="2" t="str">
        <v>TRADUCIDA</v>
      </c>
    </row>
    <row r="37">
      <c r="A37" s="2" t="str">
        <v>saldo_deuda_k</v>
      </c>
      <c r="B37" s="2" t="str">
        <v>Saldo de la deuda al cierre</v>
      </c>
      <c r="C37" s="2" t="str">
        <v>Inversión y financiación</v>
      </c>
      <c r="D37" s="2" t="str">
        <v>anio</v>
      </c>
      <c r="E37" s="2" t="str">
        <v>kUSD</v>
      </c>
      <c r="F37" s="2" t="str">
        <v>Sí</v>
      </c>
      <c r="G37" s="2" t="str">
        <v>mtr_saldo_deuda_k</v>
      </c>
      <c r="H37" s="2" t="str">
        <v>=Deuda!$H$5</v>
      </c>
      <c r="I37" s="2" t="str">
        <v>TRADUCIDA</v>
      </c>
    </row>
    <row r="38">
      <c r="A38" s="2" t="str">
        <v>costos_totales_k</v>
      </c>
      <c r="B38" s="2" t="str">
        <v>Costos y gastos totales</v>
      </c>
      <c r="C38" s="2" t="str">
        <v>Costos</v>
      </c>
      <c r="D38" s="2" t="str">
        <v>anio</v>
      </c>
      <c r="E38" s="2" t="str">
        <v>kUSD</v>
      </c>
      <c r="F38" s="2" t="str">
        <v>Sí</v>
      </c>
      <c r="G38" s="2" t="str">
        <v>costos_variables_k + costo_laboral_k + canon_k + mantenimiento_k + servicios_publicos_k + gastos_admin_k + otros_gastos_k + depreciacion_anual_k + interes_k</v>
      </c>
      <c r="H38" s="2" t="str">
        <v>=((((((((D$9+D$11)+D$12)+D$13)+D$14)+D$15)+D$16)+D$17)+D$18)</v>
      </c>
      <c r="I38" s="2" t="str">
        <v>TRADUCIDA</v>
      </c>
    </row>
    <row r="39">
      <c r="A39" s="2" t="str">
        <v>utilidad_antes_impuestos_k</v>
      </c>
      <c r="B39" s="2" t="str">
        <v>Utilidad antes de impuestos</v>
      </c>
      <c r="C39" s="2" t="str">
        <v>Resultados</v>
      </c>
      <c r="D39" s="2" t="str">
        <v>anio</v>
      </c>
      <c r="E39" s="2" t="str">
        <v>kUSD</v>
      </c>
      <c r="F39" s="2" t="str">
        <v>Sí</v>
      </c>
      <c r="G39" s="2" t="str">
        <v>ingresos_totales_k - costos_totales_k</v>
      </c>
      <c r="H39" s="2" t="str">
        <v>=(D$7-D$21)</v>
      </c>
      <c r="I39" s="2" t="str">
        <v>TRADUCIDA</v>
      </c>
    </row>
    <row r="40">
      <c r="A40" s="2" t="str">
        <v>impuesto_utilidades_k</v>
      </c>
      <c r="B40" s="2" t="str">
        <v>Impuesto sobre utilidades (regla demostrativa)</v>
      </c>
      <c r="C40" s="2" t="str">
        <v>Resultados</v>
      </c>
      <c r="D40" s="2" t="str">
        <v>anio</v>
      </c>
      <c r="E40" s="2" t="str">
        <v>kUSD</v>
      </c>
      <c r="F40" s="2" t="str">
        <v>Sí</v>
      </c>
      <c r="G40" s="2" t="str">
        <v>MAX(0, utilidad_antes_impuestos_k * tasa_impuesto_utilidades)</v>
      </c>
      <c r="H40" s="2" t="str">
        <v>=MAX(0,(D$22*Parametros!$C$3))</v>
      </c>
      <c r="I40" s="2" t="str">
        <v>TRADUCIDA</v>
      </c>
    </row>
    <row r="41">
      <c r="A41" s="2" t="str">
        <v>utilidad_despues_impuestos_k</v>
      </c>
      <c r="B41" s="2" t="str">
        <v>Utilidad después de impuestos</v>
      </c>
      <c r="C41" s="2" t="str">
        <v>Resultados</v>
      </c>
      <c r="D41" s="2" t="str">
        <v>anio</v>
      </c>
      <c r="E41" s="2" t="str">
        <v>kUSD</v>
      </c>
      <c r="F41" s="2" t="str">
        <v>Sí</v>
      </c>
      <c r="G41" s="2" t="str">
        <v>utilidad_antes_impuestos_k - impuesto_utilidades_k</v>
      </c>
      <c r="H41" s="2" t="str">
        <v>=(D$22-D$23)</v>
      </c>
      <c r="I41" s="2" t="str">
        <v>TRADUCIDA</v>
      </c>
    </row>
    <row r="42">
      <c r="A42" s="2" t="str">
        <v>flujo_proyecto_k</v>
      </c>
      <c r="B42" s="2" t="str">
        <v>Flujo de caja del PROYECTO (FCFF)</v>
      </c>
      <c r="C42" s="2" t="str">
        <v>Flujo de caja</v>
      </c>
      <c r="D42" s="2" t="str">
        <v>anio</v>
      </c>
      <c r="E42" s="2" t="str">
        <v>kUSD</v>
      </c>
      <c r="F42" s="2" t="str">
        <v>Sí</v>
      </c>
      <c r="G42" s="2" t="str">
        <v>mtr_fcff_k</v>
      </c>
      <c r="H42" s="2" t="str">
        <v>=FlujosCaja!C$4</v>
      </c>
      <c r="I42" s="2" t="str">
        <v>TRADUCIDA</v>
      </c>
    </row>
    <row r="43">
      <c r="A43" s="2" t="str">
        <v>flujo_acumulado_proyecto_k</v>
      </c>
      <c r="B43" s="2" t="str">
        <v>Flujo acumulado del proyecto</v>
      </c>
      <c r="C43" s="2" t="str">
        <v>Flujo de caja</v>
      </c>
      <c r="D43" s="2" t="str">
        <v>anio</v>
      </c>
      <c r="E43" s="2" t="str">
        <v>kUSD</v>
      </c>
      <c r="F43" s="2" t="str">
        <v>Sí</v>
      </c>
      <c r="G43" s="2" t="str">
        <v>IF(PERIODO = 0, flujo_proyecto_k, LAG(flujo_acumulado_proyecto_k, 1) + flujo_proyecto_k)</v>
      </c>
      <c r="H43" s="2" t="str">
        <v>=IF((D$3=0),D$25,(C$26+D$25))</v>
      </c>
      <c r="I43" s="2" t="str">
        <v>TRADUCIDA</v>
      </c>
    </row>
    <row r="44">
      <c r="A44" s="2" t="str">
        <v>saldo_pendiente_proyecto_k</v>
      </c>
      <c r="B44" s="2" t="str">
        <v>Saldo pendiente de recuperar (proyecto)</v>
      </c>
      <c r="C44" s="2" t="str">
        <v>Flujo de caja</v>
      </c>
      <c r="D44" s="2" t="str">
        <v>anio</v>
      </c>
      <c r="E44" s="2" t="str">
        <v>kUSD</v>
      </c>
      <c r="F44" s="2" t="str">
        <v>Sí</v>
      </c>
      <c r="G44" s="2" t="str">
        <v>MAX(0, -flujo_acumulado_proyecto_k)</v>
      </c>
      <c r="H44" s="2" t="str">
        <v>=MAX(0,(-D$26))</v>
      </c>
      <c r="I44" s="2" t="str">
        <v>TRADUCIDA</v>
      </c>
    </row>
    <row r="45">
      <c r="A45" s="2" t="str">
        <v>flujo_socios_k</v>
      </c>
      <c r="B45" s="2" t="str">
        <v>Flujo de caja de los SOCIOS (FCFE)</v>
      </c>
      <c r="C45" s="2" t="str">
        <v>Flujo de caja</v>
      </c>
      <c r="D45" s="2" t="str">
        <v>anio</v>
      </c>
      <c r="E45" s="2" t="str">
        <v>kUSD</v>
      </c>
      <c r="F45" s="2" t="str">
        <v>Sí</v>
      </c>
      <c r="G45" s="2" t="str">
        <v>mtr_fcfe_k</v>
      </c>
      <c r="H45" s="2" t="str">
        <v>=FlujosCaja!C$6</v>
      </c>
      <c r="I45" s="2" t="str">
        <v>TRADUCIDA</v>
      </c>
    </row>
    <row r="46">
      <c r="A46" s="2" t="str">
        <v>flujo_acumulado_socios_k</v>
      </c>
      <c r="B46" s="2" t="str">
        <v>Flujo acumulado de los socios</v>
      </c>
      <c r="C46" s="2" t="str">
        <v>Flujo de caja</v>
      </c>
      <c r="D46" s="2" t="str">
        <v>anio</v>
      </c>
      <c r="E46" s="2" t="str">
        <v>kUSD</v>
      </c>
      <c r="F46" s="2" t="str">
        <v>Sí</v>
      </c>
      <c r="G46" s="2" t="str">
        <v>IF(PERIODO = 0, flujo_socios_k, LAG(flujo_acumulado_socios_k, 1) + flujo_socios_k)</v>
      </c>
      <c r="H46" s="2" t="str">
        <v>=IF((D$3=0),D$28,(C$29+D$28))</v>
      </c>
      <c r="I46" s="2" t="str">
        <v>TRADUCIDA</v>
      </c>
    </row>
    <row r="47">
      <c r="A47" s="2" t="str">
        <v>saldo_pendiente_socios_k</v>
      </c>
      <c r="B47" s="2" t="str">
        <v>Saldo pendiente de recuperar (socios)</v>
      </c>
      <c r="C47" s="2" t="str">
        <v>Flujo de caja</v>
      </c>
      <c r="D47" s="2" t="str">
        <v>anio</v>
      </c>
      <c r="E47" s="2" t="str">
        <v>kUSD</v>
      </c>
      <c r="F47" s="2" t="str">
        <v>Sí</v>
      </c>
      <c r="G47" s="2" t="str">
        <v>MAX(0, -flujo_acumulado_socios_k)</v>
      </c>
      <c r="H47" s="2" t="str">
        <v>=MAX(0,(-D$29))</v>
      </c>
      <c r="I47" s="2" t="str">
        <v>TRADUCIDA</v>
      </c>
    </row>
    <row r="48">
      <c r="A48" s="2" t="str">
        <v>dividendos_pagables_k</v>
      </c>
      <c r="B48" s="2" t="str">
        <v>Dividendos pagables</v>
      </c>
      <c r="C48" s="2" t="str">
        <v>Beneficios al país</v>
      </c>
      <c r="D48" s="2" t="str">
        <v>anio</v>
      </c>
      <c r="E48" s="2" t="str">
        <v>kUSD</v>
      </c>
      <c r="F48" s="2" t="str">
        <v>Sí</v>
      </c>
      <c r="G48" s="2" t="str">
        <v>mtr_dividendos_pagables_k</v>
      </c>
      <c r="H48" s="2" t="str">
        <v>=Dividendos!C$11</v>
      </c>
      <c r="I48" s="2" t="str">
        <v>TRADUCIDA</v>
      </c>
    </row>
    <row r="49">
      <c r="A49" s="2" t="str">
        <v>dividendos_parte_cubana_k</v>
      </c>
      <c r="B49" s="2" t="str">
        <v>Dividendos de la parte cubana</v>
      </c>
      <c r="C49" s="2" t="str">
        <v>Beneficios al país</v>
      </c>
      <c r="D49" s="2" t="str">
        <v>anio</v>
      </c>
      <c r="E49" s="2" t="str">
        <v>kUSD</v>
      </c>
      <c r="F49" s="2" t="str">
        <v>Sí</v>
      </c>
      <c r="G49" s="2" t="str">
        <v>mtr_dividendos_nacional_k</v>
      </c>
      <c r="H49" s="2" t="str">
        <v>=Dividendos!C$12</v>
      </c>
      <c r="I49" s="2" t="str">
        <v>TRADUCIDA</v>
      </c>
    </row>
    <row r="50">
      <c r="A50" s="2" t="str">
        <v>pagos_fuerza_trabajo_k</v>
      </c>
      <c r="B50" s="2" t="str">
        <v>Pagos por la fuerza de trabajo</v>
      </c>
      <c r="C50" s="2" t="str">
        <v>Beneficios al país</v>
      </c>
      <c r="D50" s="2" t="str">
        <v>anio</v>
      </c>
      <c r="E50" s="2" t="str">
        <v>kUSD</v>
      </c>
      <c r="F50" s="2" t="str">
        <v>Sí</v>
      </c>
      <c r="G50" s="2" t="str">
        <v>costo_laboral_k</v>
      </c>
      <c r="H50" s="2" t="str">
        <v>=D$11</v>
      </c>
      <c r="I50" s="2" t="str">
        <v>TRADUCIDA</v>
      </c>
    </row>
    <row r="51">
      <c r="A51" s="2" t="str">
        <v>otros_impuestos_k</v>
      </c>
      <c r="B51" s="2" t="str">
        <v>Otros impuestos y tasas (años de operación)</v>
      </c>
      <c r="C51" s="2" t="str">
        <v>Beneficios al país</v>
      </c>
      <c r="D51" s="2" t="str">
        <v>anio</v>
      </c>
      <c r="E51" s="2" t="str">
        <v>kUSD</v>
      </c>
      <c r="F51" s="2" t="str">
        <v>Sí</v>
      </c>
      <c r="G51" s="2" t="str">
        <v>IF(PERIODO &gt;= 1, otros_impuestos_anual_k * (1 + inflacion_costos_fijos) ^ MAX(0, PERIODO - 1), 0)</v>
      </c>
      <c r="H51" s="2" t="str">
        <v>=IF((D$3&gt;=1),(Parametros!$C$27*((1+Parametros!$C$9)^MAX(0,(D$3-1)))),0)</v>
      </c>
      <c r="I51" s="2" t="str">
        <v>TRADUCIDA</v>
      </c>
    </row>
    <row r="52">
      <c r="A52" s="2" t="str">
        <v>aranceles_k</v>
      </c>
      <c r="B52" s="2" t="str">
        <v>Aranceles (años de operación)</v>
      </c>
      <c r="C52" s="2" t="str">
        <v>Beneficios al país</v>
      </c>
      <c r="D52" s="2" t="str">
        <v>anio</v>
      </c>
      <c r="E52" s="2" t="str">
        <v>kUSD</v>
      </c>
      <c r="F52" s="2" t="str">
        <v>Sí</v>
      </c>
      <c r="G52" s="2" t="str">
        <v>IF(PERIODO &gt;= 1, aranceles_anual_k * (1 + inflacion_costos_fijos) ^ MAX(0, PERIODO - 1), 0)</v>
      </c>
      <c r="H52" s="2" t="str">
        <v>=IF((D$3&gt;=1),(Parametros!$C$26*((1+Parametros!$C$9)^MAX(0,(D$3-1)))),0)</v>
      </c>
      <c r="I52" s="2" t="str">
        <v>TRADUCIDA</v>
      </c>
    </row>
    <row r="53">
      <c r="A53" s="2" t="str">
        <v>royalties_k</v>
      </c>
      <c r="B53" s="2" t="str">
        <v>Royalties (años de operación)</v>
      </c>
      <c r="C53" s="2" t="str">
        <v>Beneficios al país</v>
      </c>
      <c r="D53" s="2" t="str">
        <v>anio</v>
      </c>
      <c r="E53" s="2" t="str">
        <v>kUSD</v>
      </c>
      <c r="F53" s="2" t="str">
        <v>Sí</v>
      </c>
      <c r="G53" s="2" t="str">
        <v>IF(PERIODO &gt;= 1, royalties_anual_k * (1 + inflacion_costos_fijos) ^ MAX(0, PERIODO - 1), 0)</v>
      </c>
      <c r="H53" s="2" t="str">
        <v>=IF((D$3&gt;=1),(Parametros!$C$28*((1+Parametros!$C$9)^MAX(0,(D$3-1)))),0)</v>
      </c>
      <c r="I53" s="2" t="str">
        <v>TRADUCIDA</v>
      </c>
    </row>
    <row r="54">
      <c r="A54" s="2" t="str">
        <v>otros_beneficios_pais_k</v>
      </c>
      <c r="B54" s="2" t="str">
        <v>Otros ingresos al país (años de operación)</v>
      </c>
      <c r="C54" s="2" t="str">
        <v>Beneficios al país</v>
      </c>
      <c r="D54" s="2" t="str">
        <v>anio</v>
      </c>
      <c r="E54" s="2" t="str">
        <v>kUSD</v>
      </c>
      <c r="F54" s="2" t="str">
        <v>Sí</v>
      </c>
      <c r="G54" s="2" t="str">
        <v>IF(PERIODO &gt;= 1, otros_beneficios_pais_anual_k, 0)</v>
      </c>
      <c r="H54" s="2" t="str">
        <v>=IF((D$3&gt;=1),Parametros!$C$29,0)</v>
      </c>
      <c r="I54" s="2" t="str">
        <v>TRADUCIDA</v>
      </c>
    </row>
    <row r="55">
      <c r="A55" s="2" t="str">
        <v>total_beneficios_pais_k</v>
      </c>
      <c r="B55" s="2" t="str">
        <v>Total de beneficios directos al país</v>
      </c>
      <c r="C55" s="2" t="str">
        <v>Beneficios al país</v>
      </c>
      <c r="D55" s="2" t="str">
        <v>anio</v>
      </c>
      <c r="E55" s="2" t="str">
        <v>kUSD</v>
      </c>
      <c r="F55" s="2" t="str">
        <v>Sí</v>
      </c>
      <c r="G55" s="2" t="str">
        <v>impuesto_utilidades_k + otros_impuestos_k + aranceles_k + dividendos_parte_cubana_k + pagos_fuerza_trabajo_k + canon_k + royalties_k + otros_beneficios_pais_k</v>
      </c>
      <c r="H55" s="2" t="str">
        <v>=(((((((D$23+D$34)+D$35)+D$32)+D$33)+D$12)+D$36)+D$37)</v>
      </c>
      <c r="I55" s="2" t="str">
        <v>TRADUCIDA</v>
      </c>
    </row>
    <row r="57">
      <c r="A57" s="8" t="str">
        <v>Las variables mtr_* referencian las hojas del motor (Depreciacion, Deuda, FlujosCaja, Dividendos, Capacidad): cambiar un parámetro de Parametros recalcula esas hojas y con ellas todas las fórmulas dependientes.</v>
      </c>
    </row>
  </sheetData>
  <ignoredErrors>
    <ignoredError numberStoredAsText="1" sqref="A1:I57"/>
  </ignoredErrors>
</worksheet>
</file>

<file path=xl/worksheets/sheet22.xml><?xml version="1.0" encoding="utf-8"?>
<worksheet xmlns="http://schemas.openxmlformats.org/spreadsheetml/2006/main" xmlns:r="http://schemas.openxmlformats.org/officeDocument/2006/relationships">
  <dimension ref="A1:G33"/>
  <sheetViews>
    <sheetView workbookViewId="0"/>
  </sheetViews>
  <cols>
    <col min="1" max="1" width="20.83203125" customWidth="1"/>
    <col min="2" max="2" width="22.83203125" customWidth="1"/>
    <col min="3" max="3" width="90.83203125" customWidth="1"/>
    <col min="4" max="4" width="18.83203125" customWidth="1"/>
    <col min="5" max="5" width="50.83203125" customWidth="1"/>
    <col min="6" max="6" width="50.83203125" customWidth="1"/>
    <col min="7" max="7" width="16.83203125" customWidth="1"/>
  </cols>
  <sheetData>
    <row r="1">
      <c r="A1" s="3" t="str">
        <v>Controles de consistencia y diagnóstico (misión §15)</v>
      </c>
    </row>
    <row r="3">
      <c r="A3" s="28" t="str">
        <v>Nivel</v>
      </c>
      <c r="B3" s="28" t="str">
        <v>Código</v>
      </c>
      <c r="C3" s="28" t="str">
        <v>Hallazgo</v>
      </c>
      <c r="D3" s="28" t="str">
        <v>Partida</v>
      </c>
      <c r="E3" s="28" t="str">
        <v>Consecuencia</v>
      </c>
      <c r="F3" s="28" t="str">
        <v>Corrección</v>
      </c>
      <c r="G3" s="28" t="str">
        <v>Afecta conclusiones</v>
      </c>
    </row>
    <row r="4">
      <c r="A4" s="31" t="str">
        <v>advertencia_importante</v>
      </c>
      <c r="B4" s="2" t="str">
        <v>FINANCIACION_ANO0</v>
      </c>
      <c r="C4" s="2" t="str">
        <v>Los gastos de la fase de montaje del año 0 — salidas de caja explícitas no capitalizables y NO incluidas en la inversión total (nómina de montaje 0,8: total 0,8 kUSD) — quedan SIN cobertura: las fuentes declaradas cubren la inversión total (1.480,0 kUSD), pero la necesidad total del arranque (inversión + salidas de caja netas del año 0 = 1.480,8 kUSD) excede la financiación disponible (1.480,0 kUSD) en 0,8 kUSD. Financie esa brecha (mayor capital de trabajo o aporte adicional) o declárela expresamente como supuesto pendiente. El gasto NO se deduce del resultado contable después de impuestos del año 0.</v>
      </c>
      <c r="D4" s="2" t="str">
        <v>financiero</v>
      </c>
      <c r="E4" s="2" t="str">
        <v>La necesidad total de arranque (inversión más gastos del año 0) excede la financiación declarada: el plan presenta una brecha de caja no resuelta.</v>
      </c>
      <c r="F4" s="2" t="str">
        <v>Amplíe el capital de trabajo o las fuentes, o declare la brecha como supuesto pendiente de resolver.</v>
      </c>
      <c r="G4" s="2" t="str">
        <v>SÍ</v>
      </c>
    </row>
    <row r="5">
      <c r="A5" s="2" t="str">
        <v>observacion_calidad</v>
      </c>
      <c r="B5" s="2" t="str">
        <v>DEP_FUERA_HORIZONTE</v>
      </c>
      <c r="C5" s="2" t="str">
        <v>El activo «Adecuación y montaje de instalaciones» (vida útil 20 años, disponible en el año 1) no termina de depreciarse dentro del horizonte de 10 años: quedará un valor neto en libros al final del análisis.</v>
      </c>
      <c r="D5" s="2" t="str">
        <v>inversiones</v>
      </c>
      <c r="E5" s="2" t="str">
        <v>Puede condicionar la calidad o la presentabilidad del plan.</v>
      </c>
      <c r="F5" s="2" t="str">
        <v>Revise el panel de la sección indicada.</v>
      </c>
      <c r="G5" s="2" t="str">
        <v>No</v>
      </c>
    </row>
    <row r="6">
      <c r="A6" s="2" t="str">
        <v>observacion_calidad</v>
      </c>
      <c r="B6" s="2" t="str">
        <v>DEP_FUERA_HORIZONTE</v>
      </c>
      <c r="C6" s="2" t="str">
        <v>El activo «Ampliación de Gabinetes de atención (sillones) (+2 uds., año 7)» (vida útil 10 años, disponible en el año 7) no termina de depreciarse dentro del horizonte de 10 años: quedará un valor neto en libros al final del análisis.</v>
      </c>
      <c r="D6" s="2" t="str">
        <v>inversiones</v>
      </c>
      <c r="E6" s="2" t="str">
        <v>Puede condicionar la calidad o la presentabilidad del plan.</v>
      </c>
      <c r="F6" s="2" t="str">
        <v>Revise el panel de la sección indicada.</v>
      </c>
      <c r="G6" s="2" t="str">
        <v>No</v>
      </c>
    </row>
    <row r="7">
      <c r="A7" s="2" t="str">
        <v>observacion_calidad</v>
      </c>
      <c r="B7" s="2" t="str">
        <v>DIVIDENDOS_RESTRINGIDOS</v>
      </c>
      <c r="C7" s="2" t="str">
        <v>En el año 1 los dividendos propuestos (112,8 kUSD) superan la caja disponible (-812,2 kUSD): solo se consideran pagables 0,0 kUSD. La política de distribución está limitada por la liquidez modelada.</v>
      </c>
      <c r="D7" s="2" t="str">
        <v>financiero</v>
      </c>
      <c r="E7" s="2" t="str">
        <v>Puede condicionar la calidad o la presentabilidad del plan.</v>
      </c>
      <c r="F7" s="2" t="str">
        <v>Revise el panel de la sección indicada.</v>
      </c>
      <c r="G7" s="2" t="str">
        <v>No</v>
      </c>
    </row>
    <row r="8">
      <c r="A8" s="2" t="str">
        <v>observacion_calidad</v>
      </c>
      <c r="B8" s="2" t="str">
        <v>ESCENARIO_B</v>
      </c>
      <c r="C8" s="2" t="str">
        <v>Escenario activo: B (ampliación de capacidad). Las ampliaciones programadas (1) generan CAPEX y nueva capacidad en sus años de ejecución; sus cifras provienen de la tabla de recursos operativos.</v>
      </c>
      <c r="D8" s="2" t="str">
        <v>tecnico</v>
      </c>
      <c r="E8" s="2" t="str">
        <v>Puede condicionar la calidad o la presentabilidad del plan.</v>
      </c>
      <c r="F8" s="2" t="str">
        <v>Revise el panel de la sección indicada.</v>
      </c>
      <c r="G8" s="2" t="str">
        <v>No</v>
      </c>
    </row>
    <row r="9">
      <c r="A9" s="2" t="str">
        <v>observacion_calidad</v>
      </c>
      <c r="B9" s="2" t="str">
        <v>DATOS_FICTICIOS</v>
      </c>
      <c r="C9" s="2" t="str">
        <v>EJEMPLO ILUSTRATIVO CON DATOS FICTICIOS. No constituye una propuesta aprobada ni acredita el cumplimiento de requisitos legales, tributarios, sanitarios o de inversión. Validar las cifras, supuestos, autorizaciones y requisitos aplicables antes de su presentación oficial.</v>
      </c>
      <c r="D9" s="2" t="str">
        <v>general</v>
      </c>
      <c r="E9" s="2" t="str">
        <v>El documento es una demostración: no acredita cumplimiento legal, tributario ni sanitario.</v>
      </c>
      <c r="F9" s="2" t="str">
        <v>Sustituya los datos ficticios por evidencias verificables antes de un uso oficial.</v>
      </c>
      <c r="G9" s="2" t="str">
        <v>No</v>
      </c>
    </row>
    <row r="10">
      <c r="A10" s="2" t="str">
        <v>observacion_calidad</v>
      </c>
      <c r="B10" s="2" t="str">
        <v>TASA_DEMO</v>
      </c>
      <c r="C10" s="2" t="str">
        <v>La tasa de impuesto sobre utilidades (35,0 %) es un supuesto de demostración editable. No constituye la tasa legal aplicable: documente la fuente normativa antes de un uso oficial.</v>
      </c>
      <c r="D10" s="2" t="str">
        <v>config</v>
      </c>
      <c r="E10" s="2" t="str">
        <v>El impuesto y todos los indicadores dependientes (utilidad, FCFF, FCFE, recuperaciones, dividendos y beneficios al país) descansan en una tasa NO validada: las conclusiones económicas quedan condicionadas.</v>
      </c>
      <c r="F10" s="2" t="str">
        <v>Documente la tasa legal aplicable con su fuente normativa.</v>
      </c>
      <c r="G10" s="2" t="str">
        <v>SÍ</v>
      </c>
    </row>
    <row r="11">
      <c r="A11" s="2" t="str">
        <v>informacion_pendiente</v>
      </c>
      <c r="B11" s="2" t="str">
        <v>PENDIENTE</v>
      </c>
      <c r="C11" s="2" t="str">
        <v>Falta identificar al elaborador del plan (4.1): el campo está vacío o marcado como pendiente.</v>
      </c>
      <c r="D11" s="2" t="str">
        <v>4.1</v>
      </c>
      <c r="E11" s="2" t="str">
        <v>El apartado no está completado sustantivamente.</v>
      </c>
      <c r="F11" s="2" t="str">
        <v>Complete la información o declare expresamente que está pendiente.</v>
      </c>
      <c r="G11" s="2" t="str">
        <v>No</v>
      </c>
    </row>
    <row r="12">
      <c r="A12" s="2" t="str">
        <v>informacion_pendiente</v>
      </c>
      <c r="B12" s="2" t="str">
        <v>PENDIENTE</v>
      </c>
      <c r="C12" s="2" t="str">
        <v>Falta la firma o identificación del elaborador (4.1).</v>
      </c>
      <c r="D12" s="2" t="str">
        <v>4.1</v>
      </c>
      <c r="E12" s="2" t="str">
        <v>El apartado no está completado sustantivamente.</v>
      </c>
      <c r="F12" s="2" t="str">
        <v>Complete la información o declare expresamente que está pendiente.</v>
      </c>
      <c r="G12" s="2" t="str">
        <v>No</v>
      </c>
    </row>
    <row r="13">
      <c r="A13" s="2" t="str">
        <v>informacion_pendiente</v>
      </c>
      <c r="B13" s="2" t="str">
        <v>PENDIENTE</v>
      </c>
      <c r="C13" s="2" t="str">
        <v>La declaración de responsabilidad no ha sido aceptada (4.1): el documento NO está en condiciones de presentarse como definitivo.</v>
      </c>
      <c r="D13" s="2" t="str">
        <v>4.1</v>
      </c>
      <c r="E13" s="2" t="str">
        <v>El apartado no está completado sustantivamente.</v>
      </c>
      <c r="F13" s="2" t="str">
        <v>Complete la información o declare expresamente que está pendiente.</v>
      </c>
      <c r="G13" s="2" t="str">
        <v>No</v>
      </c>
    </row>
    <row r="14">
      <c r="A14" s="2" t="str">
        <v>informacion_pendiente</v>
      </c>
      <c r="B14" s="2" t="str">
        <v>REFERENCIA_HIPOTESIS</v>
      </c>
      <c r="C14" s="2" t="str">
        <v>5 aportación(es) declaran una «referencia documental» que en realidad es una HIPÓTESIS de demostración (figuran como ficticia, ilustrativa, proforma o pendiente). Una referencia documental exigible debe identificar el documento, su emisor y su fecha, y adjuntar el soporte cuando corresponda.</v>
      </c>
      <c r="D14" s="2" t="str">
        <v>aportaciones</v>
      </c>
      <c r="E14" s="2" t="str">
        <v>Los aportes no cuentan con respaldo acreditado: el plan no está en condiciones de presentarse oficialmente.</v>
      </c>
      <c r="F14" s="2" t="str">
        <v>Sustituya las referencias hipotéticas por documentos identificables (título, emisor, fecha) o declare la ausencia de soporte.</v>
      </c>
      <c r="G14" s="2" t="str">
        <v>No</v>
      </c>
    </row>
    <row r="16">
      <c r="A16" s="3" t="str">
        <v>RESUMEN DE CONTROL</v>
      </c>
    </row>
    <row r="17">
      <c r="A17" s="28" t="str">
        <v>Dimensión</v>
      </c>
      <c r="B17" s="28" t="str">
        <v>Estado</v>
      </c>
      <c r="C17" s="28" t="str">
        <v>Detalle</v>
      </c>
    </row>
    <row r="18">
      <c r="A18" s="2" t="str">
        <v>Integridad aritmética</v>
      </c>
      <c r="B18" s="32" t="str">
        <v>ok</v>
      </c>
      <c r="C18" s="2" t="str">
        <v>Las reglas evalúan sin errores, la deuda reconcilia saldo a saldo, la depreciación no excede las bases y FCFF/FCFE cumplen la identidad algebraica.</v>
      </c>
    </row>
    <row r="19">
      <c r="A19" s="2" t="str">
        <v>Coherencia financiera y contable</v>
      </c>
      <c r="B19" s="33" t="str">
        <v>deficiente</v>
      </c>
      <c r="C19" s="2" t="str">
        <v>Inversión 1.480,0 kUSD vs financiación disponible 1.480,0 kUSD (conciliación del desembolso inicial incluida en el informe); recuperación simple del proyecto 3,5 años; del capital aportado 3,2 años; capacidad verificada contra los recursos operativos.</v>
      </c>
    </row>
    <row r="20">
      <c r="A20" s="2" t="str">
        <v>Evidencia y trazabilidad de los supuestos</v>
      </c>
      <c r="B20" s="34" t="str">
        <v>deficiente</v>
      </c>
      <c r="C20" s="2" t="str">
        <v>4 parámetro(s) de demostración sin validación normativa; 5 aportación(es) sin referencia documental IDENTIFICABLE (vacía o hipótesis); 0 con referencia declarada. Las referencias hipotéticas NO cuentan como fuentes validadas.</v>
      </c>
    </row>
    <row r="21">
      <c r="A21" s="2" t="str">
        <v>Cumplimiento de la estructura metodológica</v>
      </c>
      <c r="B21" s="34" t="str">
        <v>deficiente</v>
      </c>
      <c r="C21" s="2" t="str">
        <v>Apartados 4.1–4.12 con 4 elemento(s) pendiente(s). Pendientes: 4.1, aportaciones. La completitud formal no equivale a validación de contenido.</v>
      </c>
    </row>
    <row r="22">
      <c r="A22" s="2" t="str">
        <v>Estado de validación normativa y comercial</v>
      </c>
      <c r="B22" s="31" t="str">
        <v>aceptable</v>
      </c>
      <c r="C22" s="2" t="str">
        <v>La aplicación NO valida el cumplimiento legal, tributario, sanitario ni de mercado: la estructura documental no equivale a validación normativa. Los requisitos regulatorios declarados están LISTADOS, no VERIFICADOS: cada autorización exige evidencia externa comprobable (número, emisor, fecha). La demanda solvente y los precios requieren fuentes con fecha.</v>
      </c>
    </row>
    <row r="23">
      <c r="A23" s="2" t="str">
        <v>Calidad documental</v>
      </c>
      <c r="B23" s="31" t="str">
        <v>aceptable</v>
      </c>
      <c r="C23" s="2" t="str">
        <v>Observaciones de calidad: 6; 0 análisis editados por revisar frente al modelo; campos obligatorios pendientes en 4.1: 3.</v>
      </c>
    </row>
    <row r="24">
      <c r="A24" s="8" t="str">
        <v>Conteo: 0 error(es) bloqueante(s), 1 advertencia(s) importante(s), 4 pendiente(s), 6 observación(es) de calidad.</v>
      </c>
    </row>
    <row r="25">
      <c r="A25" s="8" t="str">
        <v>ESTADO GENERAL DEL PLAN (DOC-002 §5): Borrador de demostración (datos ficticios). Plantilla de demostración con datos ficticios: sus cifras NO son datos reales y el informe no está en condiciones de presentarse a un cliente o inversionista.</v>
      </c>
    </row>
    <row r="26">
      <c r="A26" s="8" t="str">
        <v>La completitud formal de campos NO se usa como prueba de calidad: un apartado completo de supuestos sin respaldo sigue sin estar validado. Las seis dimensiones se evalúan de forma independiente.</v>
      </c>
    </row>
    <row r="27">
      <c r="A27" s="4" t="str">
        <v>Clasificación de hallazgos (misión §15)</v>
      </c>
    </row>
    <row r="28">
      <c r="A28" s="2" t="str">
        <v>error_bloqueante</v>
      </c>
      <c r="B28" s="8" t="str">
        <v>El cálculo es inválido, una fórmula tiene referencias rotas o existe una inconsistencia que impide interpretar el resultado.</v>
      </c>
    </row>
    <row r="29">
      <c r="A29" s="2" t="str">
        <v>advertencia_importante</v>
      </c>
      <c r="B29" s="8" t="str">
        <v>Capacidad insuficiente, financiación no garantizada, recuperación no alcanzada o supuestos críticos no validados.</v>
      </c>
    </row>
    <row r="30">
      <c r="A30" s="2" t="str">
        <v>informacion_pendiente</v>
      </c>
      <c r="B30" s="8" t="str">
        <v>Falta completar un campo, adjuntar evidencia o documentar un supuesto.</v>
      </c>
    </row>
    <row r="31">
      <c r="A31" s="2" t="str">
        <v>observacion_calidad</v>
      </c>
      <c r="B31" s="8" t="str">
        <v>Recomendación de mejorar la redacción, la evidencia, el análisis o la presentación.</v>
      </c>
    </row>
    <row r="33">
      <c r="A33" s="10" t="str">
        <v>EJEMPLO ILUSTRATIVO CON DATOS FICTICIOS.</v>
      </c>
    </row>
  </sheetData>
  <ignoredErrors>
    <ignoredError numberStoredAsText="1" sqref="A1:G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22</vt:i4>
      </vt:variant>
    </vt:vector>
  </HeadingPairs>
  <TitlesOfParts>
    <vt:vector size="22" baseType="lpstr">
      <vt:lpstr>Portada</vt:lpstr>
      <vt:lpstr>Resumen</vt:lpstr>
      <vt:lpstr>Parametros</vt:lpstr>
      <vt:lpstr>Inversion</vt:lpstr>
      <vt:lpstr>Depreciacion</vt:lpstr>
      <vt:lpstr>Deuda</vt:lpstr>
      <vt:lpstr>Aportaciones</vt:lpstr>
      <vt:lpstr>Financiacion</vt:lpstr>
      <vt:lpstr>Servicios</vt:lpstr>
      <vt:lpstr>Personal</vt:lpstr>
      <vt:lpstr>Capacidad</vt:lpstr>
      <vt:lpstr>Proyecciones</vt:lpstr>
      <vt:lpstr>FlujosCaja</vt:lpstr>
      <vt:lpstr>Dividendos</vt:lpstr>
      <vt:lpstr>BeneficiosPais</vt:lpstr>
      <vt:lpstr>FuerzaTrabajo</vt:lpstr>
      <vt:lpstr>Cronograma</vt:lpstr>
      <vt:lpstr>ConsumosTecnicos</vt:lpstr>
      <vt:lpstr>Mercado</vt:lpstr>
      <vt:lpstr>Descripcion</vt:lpstr>
      <vt:lpstr>Reglas</vt:lpstr>
      <vt:lpstr>Controles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2026-10-25T23:01:53Z</dcterms:created>
  <dc:creator>PLANEX Cuba</dc:creator>
  <dc:title>Clínica Estomatológica «Sonrisa Habana»</dc:title>
</cp:coreProperties>
</file>